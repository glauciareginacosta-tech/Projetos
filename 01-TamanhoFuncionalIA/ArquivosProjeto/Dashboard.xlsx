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étricas80\Downloads\Demais\"/>
    </mc:Choice>
  </mc:AlternateContent>
  <xr:revisionPtr revIDLastSave="0" documentId="13_ncr:1_{9CE2F815-4C21-4B7C-A494-98B40A401B07}" xr6:coauthVersionLast="47" xr6:coauthVersionMax="47" xr10:uidLastSave="{00000000-0000-0000-0000-000000000000}"/>
  <workbookProtection workbookAlgorithmName="SHA-512" workbookHashValue="3mMTOQm057fhRd2ecsJDmXtbCjjYqOpuTKulmSraOp73GfZfEd7+S7wY8D5LWVJb7Oclhx2vUAVGAU9KiqY0qQ==" workbookSaltValue="ej1XRxerZIVVIKuK449/sQ==" workbookSpinCount="100000" lockStructure="1"/>
  <bookViews>
    <workbookView xWindow="-120" yWindow="-120" windowWidth="20730" windowHeight="11160" firstSheet="4" activeTab="4" xr2:uid="{D9361617-B028-4F7E-8120-EB055563DB2B}"/>
  </bookViews>
  <sheets>
    <sheet name="Dif_PF_retorno" sheetId="2" state="hidden" r:id="rId1"/>
    <sheet name="Tabelas-English" sheetId="5" state="hidden" r:id="rId2"/>
    <sheet name="Tabelas" sheetId="1" state="hidden" r:id="rId3"/>
    <sheet name="Dash-English" sheetId="4" state="hidden" r:id="rId4"/>
    <sheet name="Dash-Portuguese" sheetId="3" r:id="rId5"/>
  </sheets>
  <definedNames>
    <definedName name="DadosExternos_1" localSheetId="0" hidden="1">Dif_PF_retorno!$A$1:$U$7</definedName>
    <definedName name="SegmentaçãodeDados_Demanda">#N/A</definedName>
  </definedNames>
  <calcPr calcId="191029"/>
  <pivotCaches>
    <pivotCache cacheId="49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5" l="1"/>
  <c r="G3" i="4" s="1"/>
  <c r="A16" i="5"/>
  <c r="F3" i="4" s="1"/>
  <c r="G14" i="5"/>
  <c r="F14" i="5"/>
  <c r="G13" i="5"/>
  <c r="F13" i="5"/>
  <c r="H13" i="5" s="1"/>
  <c r="C13" i="5"/>
  <c r="K3" i="4" s="1"/>
  <c r="A13" i="5"/>
  <c r="E3" i="4" s="1"/>
  <c r="G12" i="5"/>
  <c r="F12" i="5"/>
  <c r="H12" i="5" s="1"/>
  <c r="G11" i="5"/>
  <c r="F11" i="5"/>
  <c r="G10" i="5"/>
  <c r="F10" i="5"/>
  <c r="H10" i="5" s="1"/>
  <c r="C10" i="5"/>
  <c r="J3" i="4" s="1"/>
  <c r="A10" i="5"/>
  <c r="D3" i="4" s="1"/>
  <c r="G9" i="5"/>
  <c r="F9" i="5"/>
  <c r="H9" i="5" s="1"/>
  <c r="C7" i="5"/>
  <c r="I3" i="4" s="1"/>
  <c r="A7" i="5"/>
  <c r="C3" i="4" s="1"/>
  <c r="C4" i="5"/>
  <c r="H3" i="4" s="1"/>
  <c r="A4" i="5"/>
  <c r="B3" i="4" s="1"/>
  <c r="F10" i="1"/>
  <c r="F11" i="1"/>
  <c r="F12" i="1"/>
  <c r="F13" i="1"/>
  <c r="F14" i="1"/>
  <c r="F9" i="1"/>
  <c r="G11" i="1"/>
  <c r="G12" i="1"/>
  <c r="G13" i="1"/>
  <c r="G14" i="1"/>
  <c r="G10" i="1"/>
  <c r="G9" i="1"/>
  <c r="K2" i="3"/>
  <c r="J2" i="3"/>
  <c r="I2" i="3"/>
  <c r="H2" i="3"/>
  <c r="G2" i="3"/>
  <c r="F2" i="3"/>
  <c r="E2" i="3"/>
  <c r="D2" i="3"/>
  <c r="C2" i="3"/>
  <c r="B2" i="3"/>
  <c r="C16" i="1"/>
  <c r="G3" i="3" s="1"/>
  <c r="A16" i="1"/>
  <c r="F3" i="3" s="1"/>
  <c r="C13" i="1"/>
  <c r="K3" i="3" s="1"/>
  <c r="A13" i="1"/>
  <c r="E3" i="3" s="1"/>
  <c r="C10" i="1"/>
  <c r="J3" i="3" s="1"/>
  <c r="A10" i="1"/>
  <c r="D3" i="3" s="1"/>
  <c r="C7" i="1"/>
  <c r="I3" i="3" s="1"/>
  <c r="A7" i="1"/>
  <c r="C3" i="3" s="1"/>
  <c r="A4" i="1"/>
  <c r="B3" i="3" s="1"/>
  <c r="C4" i="1"/>
  <c r="H3" i="3" s="1"/>
  <c r="H11" i="5" l="1"/>
  <c r="H14" i="5"/>
  <c r="H16" i="5"/>
  <c r="H11" i="1"/>
  <c r="H14" i="1"/>
  <c r="H13" i="1"/>
  <c r="H10" i="1"/>
  <c r="H12" i="1"/>
  <c r="H9" i="1"/>
  <c r="H16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187FE1-1714-46B8-9495-6B2E17D146DE}" keepAlive="1" name="Consulta - Dif_PF_retorno" description="Conexão com a consulta 'Dif_PF_retorno' na pasta de trabalho." type="5" refreshedVersion="8" background="1" saveData="1">
    <dbPr connection="Provider=Microsoft.Mashup.OleDb.1;Data Source=$Workbook$;Location=Dif_PF_retorno;Extended Properties=&quot;&quot;" command="SELECT * FROM [Dif_PF_retorno]"/>
  </connection>
</connections>
</file>

<file path=xl/sharedStrings.xml><?xml version="1.0" encoding="utf-8"?>
<sst xmlns="http://schemas.openxmlformats.org/spreadsheetml/2006/main" count="150" uniqueCount="83">
  <si>
    <t>Demanda</t>
  </si>
  <si>
    <t>PF</t>
  </si>
  <si>
    <t>PF_IA</t>
  </si>
  <si>
    <t>EscopoResumido</t>
  </si>
  <si>
    <t>ResumoErros</t>
  </si>
  <si>
    <t>Data contagem</t>
  </si>
  <si>
    <t>%Erro</t>
  </si>
  <si>
    <t>Diferenca</t>
  </si>
  <si>
    <t>Justificativa</t>
  </si>
  <si>
    <t>Minimo_PF</t>
  </si>
  <si>
    <t>Minimo_PF_IA</t>
  </si>
  <si>
    <t>Maximo_PF</t>
  </si>
  <si>
    <t>Maximo_PF_IA</t>
  </si>
  <si>
    <t>Media_PF</t>
  </si>
  <si>
    <t>Media_PF_IA</t>
  </si>
  <si>
    <t>Mediana_PF</t>
  </si>
  <si>
    <t>Mediana_PF_IA</t>
  </si>
  <si>
    <t>Desvio_PF</t>
  </si>
  <si>
    <t>Desvio_PF_IA</t>
  </si>
  <si>
    <t>%Erro_Total</t>
  </si>
  <si>
    <t>Diferenca_Total</t>
  </si>
  <si>
    <t>AA1</t>
  </si>
  <si>
    <t xml:space="preserve">EmissÃ£o de Nota em lote, </t>
  </si>
  <si>
    <t>Excel -&gt; AIE;
ConfirmaÃ§Ã£o emissÃ£o -&gt; SE;
Download template - CE;
Lista de erros na emissÃ£o -&gt; CE</t>
  </si>
  <si>
    <t>AA2</t>
  </si>
  <si>
    <t>EmissÃ£o de nota manual</t>
  </si>
  <si>
    <t>Estrutura de dado nÃ£o encontrada no escopo -&gt; Ali
validaÃ§Ã£o CNPJ -&gt; AIE
ValidaÃ§Ã£o municipio -&gt; AIE
EmissÃ£o de mensagem de erro -&gt; SE
EmissÃ£o de mensagem de confirmaÃ§Ã£o -&gt; SE</t>
  </si>
  <si>
    <t>AA3</t>
  </si>
  <si>
    <t>Consultar nota XML e crÃ­ticas</t>
  </si>
  <si>
    <t xml:space="preserve">Filtros para se executar consulta -&gt; EE
Botao de aÃ§Ã£o do filtro -&gt; EE
Foram contados saida externa e consulta externa para as funcionalidades de consultar XML e consultar crÃ­ticas, As funcionalidades procedem entretanto Ã© contada apenas uma vez pela tÃ©cnica, -&gt; CE e SE 2x
Base de Notas e crÃ­ticas -&gt; ALI (que sÃ³ foram consultadas)
Mensagem vivo -&gt;AIE
IntegraÃ§Ã£o prefeitura ,&gt; AIE
</t>
  </si>
  <si>
    <t>AA4</t>
  </si>
  <si>
    <t>Consultar menu</t>
  </si>
  <si>
    <t>A IA ficou com dÃºvida se a funcionalidade era 3 ou 4 PFs, Coloquei o maior valor,</t>
  </si>
  <si>
    <t>AA5</t>
  </si>
  <si>
    <t>Consulta telas de links (6 telas)</t>
  </si>
  <si>
    <t>Consulta externa para consultar telas fixas, com hiperlinks,</t>
  </si>
  <si>
    <t>AA6</t>
  </si>
  <si>
    <t>Parametrizar acesso</t>
  </si>
  <si>
    <t>Itens parametrizados contados como se houvesse alteraÃ§Ã£o no desenvolvimento das funÃ§Ãµes,</t>
  </si>
  <si>
    <t>Rótulos de Linha</t>
  </si>
  <si>
    <t>Total Geral</t>
  </si>
  <si>
    <t>Erro: subestimei complexidade e itens.</t>
  </si>
  <si>
    <t>Subestimei complexidade e ignorei funções.</t>
  </si>
  <si>
    <t>Contei apenas parte das funções.</t>
  </si>
  <si>
    <t>Esqueci de arredondar o resultado.</t>
  </si>
  <si>
    <t>Não somei todos os pontos de função.</t>
  </si>
  <si>
    <t>Subestimei a complexidade.</t>
  </si>
  <si>
    <t>Soma de PF</t>
  </si>
  <si>
    <t>Soma de PF_IA</t>
  </si>
  <si>
    <t xml:space="preserve"> PF</t>
  </si>
  <si>
    <t xml:space="preserve"> %Erro</t>
  </si>
  <si>
    <t xml:space="preserve"> Diferença</t>
  </si>
  <si>
    <t>IA PF</t>
  </si>
  <si>
    <t>Soma PF</t>
  </si>
  <si>
    <t>Mín. PF</t>
  </si>
  <si>
    <t>Máx. PF</t>
  </si>
  <si>
    <t>Média PF</t>
  </si>
  <si>
    <t>Soma PF IA</t>
  </si>
  <si>
    <t>Média PF IA</t>
  </si>
  <si>
    <t>Mín. PF IA</t>
  </si>
  <si>
    <t>Máx. PF IA</t>
  </si>
  <si>
    <r>
      <t xml:space="preserve">DASHBOARD
 Ponto de Função Real (PF) </t>
    </r>
    <r>
      <rPr>
        <sz val="12"/>
        <color theme="5"/>
        <rFont val="Abadi"/>
        <family val="2"/>
      </rPr>
      <t>x</t>
    </r>
    <r>
      <rPr>
        <sz val="12"/>
        <color theme="4"/>
        <rFont val="Abadi"/>
        <family val="2"/>
      </rPr>
      <t xml:space="preserve">  Ponto de Função IA (PFIA)</t>
    </r>
  </si>
  <si>
    <r>
      <t xml:space="preserve">DASHBOARD
Real Function Point (PF) </t>
    </r>
    <r>
      <rPr>
        <sz val="12"/>
        <color theme="5"/>
        <rFont val="Abadi"/>
        <family val="2"/>
      </rPr>
      <t>x</t>
    </r>
    <r>
      <rPr>
        <sz val="12"/>
        <color theme="4"/>
        <rFont val="Abadi"/>
        <family val="2"/>
      </rPr>
      <t xml:space="preserve">  AI Functional Point (PFAI)</t>
    </r>
  </si>
  <si>
    <t>Sum PF AI</t>
  </si>
  <si>
    <t>Average PF AI</t>
  </si>
  <si>
    <t>Min AI</t>
  </si>
  <si>
    <t>Max AI</t>
  </si>
  <si>
    <t>% Error</t>
  </si>
  <si>
    <t>Diference</t>
  </si>
  <si>
    <t>Max PF</t>
  </si>
  <si>
    <t>Min PF</t>
  </si>
  <si>
    <t>Average PF</t>
  </si>
  <si>
    <t>Sum PF</t>
  </si>
  <si>
    <t>Error: I underestimated the complexity and the items.</t>
  </si>
  <si>
    <t>I underestimated the complexity and ignored functions.</t>
  </si>
  <si>
    <t>I measured only part of the functions.</t>
  </si>
  <si>
    <t>Justification</t>
  </si>
  <si>
    <t>I forgot to round the result.</t>
  </si>
  <si>
    <t>I didn't add up all the function points.</t>
  </si>
  <si>
    <t>I underestimated the complexity.</t>
  </si>
  <si>
    <t xml:space="preserve"> %Error</t>
  </si>
  <si>
    <t xml:space="preserve"> Diference</t>
  </si>
  <si>
    <t>PF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</si>
</sst>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2" tint="-9.9978637043366805E-2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sz val="12"/>
      <color theme="4"/>
      <name val="Abadi"/>
      <family val="2"/>
    </font>
    <font>
      <sz val="12"/>
      <color theme="5"/>
      <name val="Abad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33" borderId="0" xfId="0" applyFill="1"/>
    <xf numFmtId="0" fontId="18" fillId="3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9" fillId="33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horizontal="center" vertical="center"/>
    </xf>
    <xf numFmtId="0" fontId="0" fillId="33" borderId="0" xfId="0" applyFill="1" applyAlignment="1">
      <alignment wrapText="1"/>
    </xf>
    <xf numFmtId="0" fontId="0" fillId="34" borderId="0" xfId="0" applyFill="1" applyAlignment="1">
      <alignment wrapText="1"/>
    </xf>
    <xf numFmtId="0" fontId="0" fillId="34" borderId="0" xfId="0" applyFill="1"/>
    <xf numFmtId="164" fontId="20" fillId="34" borderId="0" xfId="0" applyNumberFormat="1" applyFont="1" applyFill="1" applyAlignment="1">
      <alignment horizontal="center" vertical="center" wrapText="1"/>
    </xf>
    <xf numFmtId="0" fontId="21" fillId="34" borderId="0" xfId="0" applyFont="1" applyFill="1" applyAlignment="1">
      <alignment horizontal="center"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40"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color theme="4"/>
      </font>
      <border>
        <left/>
        <right/>
        <top/>
        <bottom/>
        <vertical/>
        <horizontal/>
      </border>
    </dxf>
    <dxf>
      <font>
        <color theme="1"/>
      </font>
      <fill>
        <patternFill patternType="solid">
          <fgColor auto="1"/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5117038483843"/>
          <bgColor theme="4"/>
        </patternFill>
      </fill>
      <border>
        <bottom style="thin">
          <color theme="4" tint="0.39997558519241921"/>
        </bottom>
      </border>
    </dxf>
    <dxf>
      <font>
        <color theme="0"/>
      </font>
      <fill>
        <patternFill patternType="solid">
          <fgColor theme="4"/>
          <bgColor theme="4"/>
        </patternFill>
      </fill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</dxfs>
  <tableStyles count="5" defaultTableStyle="TableStyleMedium2" defaultPivotStyle="PivotStyleLight16">
    <tableStyle name="Estilo de Tabela 1" pivot="0" count="1" xr9:uid="{255CE0ED-0FD0-42A2-AAA4-6066EA1E3A73}">
      <tableStyleElement type="wholeTable" dxfId="239"/>
    </tableStyle>
    <tableStyle name="Estilo de Tabela Dinâmica 1" table="0" count="1" xr9:uid="{7E2792C1-09BE-4B4F-BC27-86B4F0A0503B}">
      <tableStyleElement type="wholeTable" dxfId="238"/>
    </tableStyle>
    <tableStyle name="PivotStyleLight16 2" table="0" count="11" xr9:uid="{130B00C2-B130-458B-ACD2-AB29A18ABD73}">
      <tableStyleElement type="headerRow" dxfId="237"/>
      <tableStyleElement type="totalRow" dxfId="236"/>
      <tableStyleElement type="firstRowStripe" dxfId="235"/>
      <tableStyleElement type="firstColumnStripe" dxfId="234"/>
      <tableStyleElement type="firstSubtotalColumn" dxfId="233"/>
      <tableStyleElement type="firstSubtotalRow" dxfId="232"/>
      <tableStyleElement type="secondSubtotalRow" dxfId="231"/>
      <tableStyleElement type="firstRowSubheading" dxfId="230"/>
      <tableStyleElement type="secondRowSubheading" dxfId="229"/>
      <tableStyleElement type="pageFieldLabels" dxfId="228"/>
      <tableStyleElement type="pageFieldValues" dxfId="227"/>
    </tableStyle>
    <tableStyle name="PivotStyleLight16 3" table="0" count="11" xr9:uid="{B29E7EF6-F5E8-4D37-B206-7FC3602B5EAB}">
      <tableStyleElement type="headerRow" dxfId="226"/>
      <tableStyleElement type="totalRow" dxfId="225"/>
      <tableStyleElement type="firstRowStripe" dxfId="224"/>
      <tableStyleElement type="firstColumnStripe" dxfId="223"/>
      <tableStyleElement type="firstSubtotalColumn" dxfId="222"/>
      <tableStyleElement type="firstSubtotalRow" dxfId="221"/>
      <tableStyleElement type="secondSubtotalRow" dxfId="220"/>
      <tableStyleElement type="firstRowSubheading" dxfId="219"/>
      <tableStyleElement type="secondRowSubheading" dxfId="218"/>
      <tableStyleElement type="pageFieldLabels" dxfId="217"/>
      <tableStyleElement type="pageFieldValues" dxfId="216"/>
    </tableStyle>
    <tableStyle name="SlicerStyleLight1 2" pivot="0" table="0" count="10" xr9:uid="{42DCEF36-D987-4582-A324-4AC330AF3A06}">
      <tableStyleElement type="wholeTable" dxfId="215"/>
      <tableStyleElement type="headerRow" dxfId="214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theme="5"/>
              </stop>
              <stop position="1">
                <color theme="2" tint="-9.8025452436902985E-2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theme="5"/>
              </stop>
              <stop position="1">
                <color theme="2" tint="-9.8025452436902985E-2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auto="1"/>
          </font>
          <fill>
            <gradientFill degree="90">
              <stop position="0">
                <color theme="5"/>
              </stop>
              <stop position="1">
                <color theme="2" tint="-9.8025452436902985E-2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theme="5"/>
              </stop>
              <stop position="1">
                <color theme="2" tint="-9.8025452436902985E-2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5"/>
          </font>
          <fill>
            <patternFill patternType="solid">
              <fgColor theme="4" tint="0.79995117038483843"/>
              <bgColor theme="2" tint="-9.9948118533890809E-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5"/>
          </font>
          <fill>
            <patternFill patternType="solid">
              <fgColor theme="2" tint="-9.9948118533890809E-2"/>
              <bgColor theme="2" tint="-9.9948118533890809E-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5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5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[Dashboard.xlsx]Tabelas-English!Tabela dinâmica27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'Tabelas-English'!$M$1</c:f>
              <c:strCache>
                <c:ptCount val="1"/>
                <c:pt idx="0">
                  <c:v> PF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'Tabelas-English'!$L$2:$L$3</c:f>
              <c:strCache>
                <c:ptCount val="1"/>
                <c:pt idx="0">
                  <c:v>AA3</c:v>
                </c:pt>
              </c:strCache>
            </c:strRef>
          </c:cat>
          <c:val>
            <c:numRef>
              <c:f>'Tabelas-English'!$M$2:$M$3</c:f>
              <c:numCache>
                <c:formatCode>0.0</c:formatCode>
                <c:ptCount val="1"/>
                <c:pt idx="0">
                  <c:v>9.1999999999999993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8D-44A9-B722-7AB28C3312F7}"/>
            </c:ext>
          </c:extLst>
        </c:ser>
        <c:ser>
          <c:idx val="1"/>
          <c:order val="1"/>
          <c:tx>
            <c:strRef>
              <c:f>'Tabelas-English'!$N$1</c:f>
              <c:strCache>
                <c:ptCount val="1"/>
                <c:pt idx="0">
                  <c:v>PF AI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'Tabelas-English'!$L$2:$L$3</c:f>
              <c:strCache>
                <c:ptCount val="1"/>
                <c:pt idx="0">
                  <c:v>AA3</c:v>
                </c:pt>
              </c:strCache>
            </c:strRef>
          </c:cat>
          <c:val>
            <c:numRef>
              <c:f>'Tabelas-English'!$N$2:$N$3</c:f>
              <c:numCache>
                <c:formatCode>0.0</c:formatCode>
                <c:ptCount val="1"/>
                <c:pt idx="0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8D-44A9-B722-7AB28C3312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64550096"/>
        <c:axId val="1894807776"/>
      </c:barChart>
      <c:catAx>
        <c:axId val="96455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4807776"/>
        <c:crosses val="autoZero"/>
        <c:auto val="1"/>
        <c:lblAlgn val="ctr"/>
        <c:lblOffset val="100"/>
        <c:noMultiLvlLbl val="0"/>
      </c:catAx>
      <c:valAx>
        <c:axId val="1894807776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455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[Dashboard.xlsx]Tabelas-English!Tabela dinâmica28</c:name>
    <c:fmtId val="2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1.6666666666666666E-2"/>
              <c:y val="-9.72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1.6666666666666666E-2"/>
              <c:y val="-9.72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1.6666666666666666E-2"/>
              <c:y val="-9.72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'Tabelas-English'!$M$11</c:f>
              <c:strCache>
                <c:ptCount val="1"/>
                <c:pt idx="0">
                  <c:v> %Error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'Tabelas-English'!$L$12:$L$13</c:f>
              <c:strCache>
                <c:ptCount val="1"/>
                <c:pt idx="0">
                  <c:v>AA3</c:v>
                </c:pt>
              </c:strCache>
            </c:strRef>
          </c:cat>
          <c:val>
            <c:numRef>
              <c:f>'Tabelas-English'!$M$12:$M$13</c:f>
              <c:numCache>
                <c:formatCode>0.0</c:formatCode>
                <c:ptCount val="1"/>
                <c:pt idx="0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D4-4305-BF06-5A4D9F8AA4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70417120"/>
        <c:axId val="1600685632"/>
      </c:barChart>
      <c:lineChart>
        <c:grouping val="stacked"/>
        <c:varyColors val="0"/>
        <c:ser>
          <c:idx val="1"/>
          <c:order val="1"/>
          <c:tx>
            <c:strRef>
              <c:f>'Tabelas-English'!$N$11</c:f>
              <c:strCache>
                <c:ptCount val="1"/>
                <c:pt idx="0">
                  <c:v> Diference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'Tabelas-English'!$L$12:$L$13</c:f>
              <c:strCache>
                <c:ptCount val="1"/>
                <c:pt idx="0">
                  <c:v>AA3</c:v>
                </c:pt>
              </c:strCache>
            </c:strRef>
          </c:cat>
          <c:val>
            <c:numRef>
              <c:f>'Tabelas-English'!$N$12:$N$13</c:f>
              <c:numCache>
                <c:formatCode>0.0</c:formatCode>
                <c:ptCount val="1"/>
                <c:pt idx="0">
                  <c:v>36.799999999999997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D4-4305-BF06-5A4D9F8AA41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64572368"/>
        <c:axId val="858460544"/>
      </c:lineChart>
      <c:catAx>
        <c:axId val="107041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0685632"/>
        <c:crosses val="autoZero"/>
        <c:auto val="1"/>
        <c:lblAlgn val="ctr"/>
        <c:lblOffset val="100"/>
        <c:noMultiLvlLbl val="0"/>
      </c:catAx>
      <c:valAx>
        <c:axId val="1600685632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0417120"/>
        <c:crosses val="autoZero"/>
        <c:crossBetween val="between"/>
      </c:valAx>
      <c:valAx>
        <c:axId val="858460544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4572368"/>
        <c:crosses val="max"/>
        <c:crossBetween val="between"/>
      </c:valAx>
      <c:catAx>
        <c:axId val="9645723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584605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bg2">
          <a:lumMod val="90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[Dashboard.xlsx]Tabelas!Tabela dinâmica27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5636482939632552E-2"/>
          <c:y val="4.8187299360697447E-2"/>
          <c:w val="0.88380796150481189"/>
          <c:h val="0.775837223886837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Tabelas!$M$1</c:f>
              <c:strCache>
                <c:ptCount val="1"/>
                <c:pt idx="0">
                  <c:v>Soma de PF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Tabelas!$L$2:$L$8</c:f>
              <c:strCache>
                <c:ptCount val="6"/>
                <c:pt idx="0">
                  <c:v>AA3</c:v>
                </c:pt>
                <c:pt idx="1">
                  <c:v>AA2</c:v>
                </c:pt>
                <c:pt idx="2">
                  <c:v>AA1</c:v>
                </c:pt>
                <c:pt idx="3">
                  <c:v>AA5</c:v>
                </c:pt>
                <c:pt idx="4">
                  <c:v>AA6</c:v>
                </c:pt>
                <c:pt idx="5">
                  <c:v>AA4</c:v>
                </c:pt>
              </c:strCache>
            </c:strRef>
          </c:cat>
          <c:val>
            <c:numRef>
              <c:f>Tabelas!$M$2:$M$8</c:f>
              <c:numCache>
                <c:formatCode>0.0</c:formatCode>
                <c:ptCount val="6"/>
                <c:pt idx="0">
                  <c:v>9.1999999999999993</c:v>
                </c:pt>
                <c:pt idx="1">
                  <c:v>4.5999999999999996</c:v>
                </c:pt>
                <c:pt idx="2">
                  <c:v>4.5999999999999996</c:v>
                </c:pt>
                <c:pt idx="3">
                  <c:v>6.9</c:v>
                </c:pt>
                <c:pt idx="4">
                  <c:v>9.6</c:v>
                </c:pt>
                <c:pt idx="5">
                  <c:v>3.68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B3-4AE5-8B4B-BD2298E71B09}"/>
            </c:ext>
          </c:extLst>
        </c:ser>
        <c:ser>
          <c:idx val="1"/>
          <c:order val="1"/>
          <c:tx>
            <c:strRef>
              <c:f>Tabelas!$N$1</c:f>
              <c:strCache>
                <c:ptCount val="1"/>
                <c:pt idx="0">
                  <c:v>Soma de PF_IA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Tabelas!$L$2:$L$8</c:f>
              <c:strCache>
                <c:ptCount val="6"/>
                <c:pt idx="0">
                  <c:v>AA3</c:v>
                </c:pt>
                <c:pt idx="1">
                  <c:v>AA2</c:v>
                </c:pt>
                <c:pt idx="2">
                  <c:v>AA1</c:v>
                </c:pt>
                <c:pt idx="3">
                  <c:v>AA5</c:v>
                </c:pt>
                <c:pt idx="4">
                  <c:v>AA6</c:v>
                </c:pt>
                <c:pt idx="5">
                  <c:v>AA4</c:v>
                </c:pt>
              </c:strCache>
            </c:strRef>
          </c:cat>
          <c:val>
            <c:numRef>
              <c:f>Tabelas!$N$2:$N$8</c:f>
              <c:numCache>
                <c:formatCode>0.0</c:formatCode>
                <c:ptCount val="6"/>
                <c:pt idx="0">
                  <c:v>46</c:v>
                </c:pt>
                <c:pt idx="1">
                  <c:v>35</c:v>
                </c:pt>
                <c:pt idx="2">
                  <c:v>25</c:v>
                </c:pt>
                <c:pt idx="3">
                  <c:v>18</c:v>
                </c:pt>
                <c:pt idx="4">
                  <c:v>11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B3-4AE5-8B4B-BD2298E71B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8643999"/>
        <c:axId val="1600696672"/>
      </c:barChart>
      <c:catAx>
        <c:axId val="14864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0696672"/>
        <c:crosses val="autoZero"/>
        <c:auto val="1"/>
        <c:lblAlgn val="ctr"/>
        <c:lblOffset val="100"/>
        <c:noMultiLvlLbl val="0"/>
      </c:catAx>
      <c:valAx>
        <c:axId val="1600696672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64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[Dashboard.xlsx]Tabelas!Tabela dinâmica28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8.3333333333332309E-3"/>
              <c:y val="-4.62962962962963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8.3333333333332309E-3"/>
              <c:y val="-4.62962962962963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8.3333333333332309E-3"/>
              <c:y val="-4.62962962962963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Tabelas!$M$11</c:f>
              <c:strCache>
                <c:ptCount val="1"/>
                <c:pt idx="0">
                  <c:v> %Erro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Tabelas!$L$12:$L$18</c:f>
              <c:strCache>
                <c:ptCount val="6"/>
                <c:pt idx="0">
                  <c:v>AA1</c:v>
                </c:pt>
                <c:pt idx="1">
                  <c:v>AA2</c:v>
                </c:pt>
                <c:pt idx="2">
                  <c:v>AA3</c:v>
                </c:pt>
                <c:pt idx="3">
                  <c:v>AA4</c:v>
                </c:pt>
                <c:pt idx="4">
                  <c:v>AA5</c:v>
                </c:pt>
                <c:pt idx="5">
                  <c:v>AA6</c:v>
                </c:pt>
              </c:strCache>
            </c:strRef>
          </c:cat>
          <c:val>
            <c:numRef>
              <c:f>Tabelas!$M$12:$M$18</c:f>
              <c:numCache>
                <c:formatCode>0.0</c:formatCode>
                <c:ptCount val="6"/>
                <c:pt idx="0">
                  <c:v>443.47826086956525</c:v>
                </c:pt>
                <c:pt idx="1">
                  <c:v>660.86956521739125</c:v>
                </c:pt>
                <c:pt idx="2">
                  <c:v>400</c:v>
                </c:pt>
                <c:pt idx="3">
                  <c:v>8.6956521739130395</c:v>
                </c:pt>
                <c:pt idx="4">
                  <c:v>160.86956521739128</c:v>
                </c:pt>
                <c:pt idx="5">
                  <c:v>14.583333333333337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7-4977-9104-CFC04BFDEF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83725056"/>
        <c:axId val="1894796256"/>
      </c:barChart>
      <c:lineChart>
        <c:grouping val="stacked"/>
        <c:varyColors val="0"/>
        <c:ser>
          <c:idx val="1"/>
          <c:order val="1"/>
          <c:tx>
            <c:strRef>
              <c:f>Tabelas!$N$11</c:f>
              <c:strCache>
                <c:ptCount val="1"/>
                <c:pt idx="0">
                  <c:v> Diferença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957-4977-9104-CFC04BFDEFA3}"/>
              </c:ext>
            </c:extLst>
          </c:dPt>
          <c:dLbls>
            <c:dLbl>
              <c:idx val="4"/>
              <c:layout>
                <c:manualLayout>
                  <c:x val="8.3333333333332309E-3"/>
                  <c:y val="-4.6296296296296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957-4977-9104-CFC04BFDEF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Tabelas!$L$12:$L$18</c:f>
              <c:strCache>
                <c:ptCount val="6"/>
                <c:pt idx="0">
                  <c:v>AA1</c:v>
                </c:pt>
                <c:pt idx="1">
                  <c:v>AA2</c:v>
                </c:pt>
                <c:pt idx="2">
                  <c:v>AA3</c:v>
                </c:pt>
                <c:pt idx="3">
                  <c:v>AA4</c:v>
                </c:pt>
                <c:pt idx="4">
                  <c:v>AA5</c:v>
                </c:pt>
                <c:pt idx="5">
                  <c:v>AA6</c:v>
                </c:pt>
              </c:strCache>
            </c:strRef>
          </c:cat>
          <c:val>
            <c:numRef>
              <c:f>Tabelas!$N$12:$N$18</c:f>
              <c:numCache>
                <c:formatCode>0.0</c:formatCode>
                <c:ptCount val="6"/>
                <c:pt idx="0">
                  <c:v>20.399999999999999</c:v>
                </c:pt>
                <c:pt idx="1">
                  <c:v>30.4</c:v>
                </c:pt>
                <c:pt idx="2">
                  <c:v>36.799999999999997</c:v>
                </c:pt>
                <c:pt idx="3">
                  <c:v>0.31999999999999984</c:v>
                </c:pt>
                <c:pt idx="4">
                  <c:v>11.1</c:v>
                </c:pt>
                <c:pt idx="5">
                  <c:v>1.4000000000000004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57-4977-9104-CFC04BFDEF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70361440"/>
        <c:axId val="858480704"/>
      </c:lineChart>
      <c:catAx>
        <c:axId val="188372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4796256"/>
        <c:crosses val="autoZero"/>
        <c:auto val="1"/>
        <c:lblAlgn val="ctr"/>
        <c:lblOffset val="100"/>
        <c:noMultiLvlLbl val="0"/>
      </c:catAx>
      <c:valAx>
        <c:axId val="1894796256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3725056"/>
        <c:crosses val="autoZero"/>
        <c:crossBetween val="between"/>
      </c:valAx>
      <c:valAx>
        <c:axId val="858480704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0361440"/>
        <c:crosses val="max"/>
        <c:crossBetween val="between"/>
      </c:valAx>
      <c:catAx>
        <c:axId val="1070361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58480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47625</xdr:rowOff>
    </xdr:from>
    <xdr:to>
      <xdr:col>0</xdr:col>
      <xdr:colOff>1638300</xdr:colOff>
      <xdr:row>16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Demanda 1">
              <a:extLst>
                <a:ext uri="{FF2B5EF4-FFF2-40B4-BE49-F238E27FC236}">
                  <a16:creationId xmlns:a16="http://schemas.microsoft.com/office/drawing/2014/main" id="{31EA2FE4-2764-48A3-B8CE-D7A4BE8596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mand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43000"/>
              <a:ext cx="16383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>
    <xdr:from>
      <xdr:col>0</xdr:col>
      <xdr:colOff>161925</xdr:colOff>
      <xdr:row>1</xdr:row>
      <xdr:rowOff>395287</xdr:rowOff>
    </xdr:from>
    <xdr:to>
      <xdr:col>0</xdr:col>
      <xdr:colOff>1004797</xdr:colOff>
      <xdr:row>5</xdr:row>
      <xdr:rowOff>3398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A8345EBD-B6D8-40F6-9C6F-836DA9A562D7}"/>
            </a:ext>
          </a:extLst>
        </xdr:cNvPr>
        <xdr:cNvSpPr txBox="1"/>
      </xdr:nvSpPr>
      <xdr:spPr>
        <a:xfrm>
          <a:off x="161925" y="881062"/>
          <a:ext cx="842872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100" b="1">
              <a:solidFill>
                <a:schemeClr val="bg2">
                  <a:lumMod val="90000"/>
                </a:schemeClr>
              </a:solidFill>
            </a:rPr>
            <a:t>Demands's Filter</a:t>
          </a:r>
        </a:p>
      </xdr:txBody>
    </xdr:sp>
    <xdr:clientData/>
  </xdr:twoCellAnchor>
  <xdr:oneCellAnchor>
    <xdr:from>
      <xdr:col>9</xdr:col>
      <xdr:colOff>492107</xdr:colOff>
      <xdr:row>0</xdr:row>
      <xdr:rowOff>285750</xdr:rowOff>
    </xdr:from>
    <xdr:ext cx="1203343" cy="233205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B9E7CA2B-0AC0-4919-8B89-15A2FFADAE69}"/>
            </a:ext>
          </a:extLst>
        </xdr:cNvPr>
        <xdr:cNvSpPr txBox="1"/>
      </xdr:nvSpPr>
      <xdr:spPr>
        <a:xfrm>
          <a:off x="8969357" y="285750"/>
          <a:ext cx="120334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/>
          <a:r>
            <a:rPr lang="pt-BR" sz="900" b="1">
              <a:solidFill>
                <a:schemeClr val="accent2"/>
              </a:solidFill>
            </a:rPr>
            <a:t>Updated 07/15/2026</a:t>
          </a:r>
        </a:p>
      </xdr:txBody>
    </xdr:sp>
    <xdr:clientData/>
  </xdr:oneCellAnchor>
  <xdr:twoCellAnchor>
    <xdr:from>
      <xdr:col>6</xdr:col>
      <xdr:colOff>76200</xdr:colOff>
      <xdr:row>17</xdr:row>
      <xdr:rowOff>180974</xdr:rowOff>
    </xdr:from>
    <xdr:to>
      <xdr:col>10</xdr:col>
      <xdr:colOff>771524</xdr:colOff>
      <xdr:row>25</xdr:row>
      <xdr:rowOff>133350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2DF36516-54A9-213C-AE29-6FC9A78626D9}"/>
            </a:ext>
          </a:extLst>
        </xdr:cNvPr>
        <xdr:cNvGrpSpPr/>
      </xdr:nvGrpSpPr>
      <xdr:grpSpPr>
        <a:xfrm>
          <a:off x="6010275" y="3781424"/>
          <a:ext cx="4086224" cy="1476376"/>
          <a:chOff x="6010275" y="3781424"/>
          <a:chExt cx="4086224" cy="1476376"/>
        </a:xfrm>
      </xdr:grpSpPr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07AAC562-0ADF-4B14-990A-27085D121F82}"/>
              </a:ext>
            </a:extLst>
          </xdr:cNvPr>
          <xdr:cNvSpPr/>
        </xdr:nvSpPr>
        <xdr:spPr>
          <a:xfrm>
            <a:off x="6010275" y="3781424"/>
            <a:ext cx="4086224" cy="1476376"/>
          </a:xfrm>
          <a:prstGeom prst="rect">
            <a:avLst/>
          </a:prstGeom>
          <a:ln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 baseline="0">
                <a:solidFill>
                  <a:schemeClr val="bg2">
                    <a:lumMod val="90000"/>
                  </a:schemeClr>
                </a:solidFill>
              </a:rPr>
              <a:t>Demands and justifications generated by AI</a:t>
            </a:r>
          </a:p>
        </xdr:txBody>
      </xdr:sp>
      <xdr:sp macro="" textlink="'Tabelas-English'!H16">
        <xdr:nvSpPr>
          <xdr:cNvPr id="8" name="Retângulo 7">
            <a:extLst>
              <a:ext uri="{FF2B5EF4-FFF2-40B4-BE49-F238E27FC236}">
                <a16:creationId xmlns:a16="http://schemas.microsoft.com/office/drawing/2014/main" id="{635C267D-9847-441D-8C48-99F86E0DFC3B}"/>
              </a:ext>
            </a:extLst>
          </xdr:cNvPr>
          <xdr:cNvSpPr/>
        </xdr:nvSpPr>
        <xdr:spPr>
          <a:xfrm>
            <a:off x="6105525" y="4029075"/>
            <a:ext cx="3923925" cy="1162050"/>
          </a:xfrm>
          <a:prstGeom prst="rect">
            <a:avLst/>
          </a:prstGeom>
          <a:solidFill>
            <a:schemeClr val="bg2">
              <a:lumMod val="9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011DE0F8-5E09-4BFA-841D-1CF07B35DF6D}" type="TxLink">
              <a:rPr lang="en-US" sz="1100" b="1" i="0" u="none" strike="noStrike">
                <a:solidFill>
                  <a:schemeClr val="accent1"/>
                </a:solidFill>
                <a:latin typeface="Aptos Narrow"/>
              </a:rPr>
              <a:pPr algn="l"/>
              <a:t>AA3-I measured only part of the functions.
 </a:t>
            </a:fld>
            <a:endParaRPr lang="pt-BR" sz="1100" b="1">
              <a:solidFill>
                <a:schemeClr val="accent1"/>
              </a:solidFill>
            </a:endParaRPr>
          </a:p>
        </xdr:txBody>
      </xdr:sp>
    </xdr:grpSp>
    <xdr:clientData/>
  </xdr:twoCellAnchor>
  <xdr:twoCellAnchor>
    <xdr:from>
      <xdr:col>1</xdr:col>
      <xdr:colOff>85724</xdr:colOff>
      <xdr:row>5</xdr:row>
      <xdr:rowOff>114298</xdr:rowOff>
    </xdr:from>
    <xdr:to>
      <xdr:col>5</xdr:col>
      <xdr:colOff>781049</xdr:colOff>
      <xdr:row>25</xdr:row>
      <xdr:rowOff>123825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E049939C-10AC-617D-372C-3661351F17A8}"/>
            </a:ext>
          </a:extLst>
        </xdr:cNvPr>
        <xdr:cNvGrpSpPr/>
      </xdr:nvGrpSpPr>
      <xdr:grpSpPr>
        <a:xfrm>
          <a:off x="1781174" y="1428748"/>
          <a:ext cx="4086225" cy="3819527"/>
          <a:chOff x="1781174" y="1428748"/>
          <a:chExt cx="4086225" cy="3819527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19100E15-D200-4EE0-9E49-4A221F289B05}"/>
              </a:ext>
            </a:extLst>
          </xdr:cNvPr>
          <xdr:cNvSpPr/>
        </xdr:nvSpPr>
        <xdr:spPr>
          <a:xfrm>
            <a:off x="1781174" y="1428748"/>
            <a:ext cx="4086225" cy="3819527"/>
          </a:xfrm>
          <a:prstGeom prst="rect">
            <a:avLst/>
          </a:prstGeom>
          <a:ln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 baseline="0">
                <a:solidFill>
                  <a:schemeClr val="bg2">
                    <a:lumMod val="90000"/>
                  </a:schemeClr>
                </a:solidFill>
              </a:rPr>
              <a:t>Real PF and AI PF</a:t>
            </a:r>
          </a:p>
        </xdr:txBody>
      </xdr:sp>
      <xdr:graphicFrame macro="">
        <xdr:nvGraphicFramePr>
          <xdr:cNvPr id="11" name="Gráfico 10">
            <a:extLst>
              <a:ext uri="{FF2B5EF4-FFF2-40B4-BE49-F238E27FC236}">
                <a16:creationId xmlns:a16="http://schemas.microsoft.com/office/drawing/2014/main" id="{A4FA6EFD-9725-4F7F-96B8-62F9C2C101C8}"/>
              </a:ext>
            </a:extLst>
          </xdr:cNvPr>
          <xdr:cNvGraphicFramePr>
            <a:graphicFrameLocks/>
          </xdr:cNvGraphicFramePr>
        </xdr:nvGraphicFramePr>
        <xdr:xfrm>
          <a:off x="1847850" y="1695449"/>
          <a:ext cx="3943350" cy="34956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6</xdr:col>
      <xdr:colOff>76200</xdr:colOff>
      <xdr:row>5</xdr:row>
      <xdr:rowOff>114298</xdr:rowOff>
    </xdr:from>
    <xdr:to>
      <xdr:col>10</xdr:col>
      <xdr:colOff>771524</xdr:colOff>
      <xdr:row>17</xdr:row>
      <xdr:rowOff>76199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7F871B59-DCC9-9F33-7CC7-26F103263F30}"/>
            </a:ext>
          </a:extLst>
        </xdr:cNvPr>
        <xdr:cNvGrpSpPr/>
      </xdr:nvGrpSpPr>
      <xdr:grpSpPr>
        <a:xfrm>
          <a:off x="6010275" y="1428748"/>
          <a:ext cx="4086224" cy="2247901"/>
          <a:chOff x="6010275" y="1428748"/>
          <a:chExt cx="4086224" cy="2247901"/>
        </a:xfrm>
      </xdr:grpSpPr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A72488EA-46B0-47F4-93FE-9E9E22BA49B1}"/>
              </a:ext>
            </a:extLst>
          </xdr:cNvPr>
          <xdr:cNvSpPr/>
        </xdr:nvSpPr>
        <xdr:spPr>
          <a:xfrm>
            <a:off x="6010275" y="1428748"/>
            <a:ext cx="4086224" cy="2247901"/>
          </a:xfrm>
          <a:prstGeom prst="rect">
            <a:avLst/>
          </a:prstGeom>
          <a:ln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>
                <a:solidFill>
                  <a:schemeClr val="bg2">
                    <a:lumMod val="90000"/>
                  </a:schemeClr>
                </a:solidFill>
              </a:rPr>
              <a:t>% Error and Diference of PF and PF AI</a:t>
            </a:r>
            <a:endParaRPr lang="pt-BR" sz="1100" b="1" baseline="0">
              <a:solidFill>
                <a:schemeClr val="bg2">
                  <a:lumMod val="90000"/>
                </a:schemeClr>
              </a:solidFill>
            </a:endParaRPr>
          </a:p>
        </xdr:txBody>
      </xdr:sp>
      <xdr:graphicFrame macro="">
        <xdr:nvGraphicFramePr>
          <xdr:cNvPr id="12" name="Gráfico 11">
            <a:extLst>
              <a:ext uri="{FF2B5EF4-FFF2-40B4-BE49-F238E27FC236}">
                <a16:creationId xmlns:a16="http://schemas.microsoft.com/office/drawing/2014/main" id="{8C2D3B3F-8E3F-43F5-BD3B-DB3C949E303A}"/>
              </a:ext>
            </a:extLst>
          </xdr:cNvPr>
          <xdr:cNvGraphicFramePr>
            <a:graphicFrameLocks/>
          </xdr:cNvGraphicFramePr>
        </xdr:nvGraphicFramePr>
        <xdr:xfrm>
          <a:off x="6105525" y="1685924"/>
          <a:ext cx="3914775" cy="19145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3</xdr:row>
      <xdr:rowOff>38100</xdr:rowOff>
    </xdr:from>
    <xdr:to>
      <xdr:col>0</xdr:col>
      <xdr:colOff>1638300</xdr:colOff>
      <xdr:row>18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Demanda">
              <a:extLst>
                <a:ext uri="{FF2B5EF4-FFF2-40B4-BE49-F238E27FC236}">
                  <a16:creationId xmlns:a16="http://schemas.microsoft.com/office/drawing/2014/main" id="{EBB9CF14-E331-4B8C-B18D-7F5571C14F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mand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1133475"/>
              <a:ext cx="1628775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>
    <xdr:from>
      <xdr:col>1</xdr:col>
      <xdr:colOff>85724</xdr:colOff>
      <xdr:row>5</xdr:row>
      <xdr:rowOff>114298</xdr:rowOff>
    </xdr:from>
    <xdr:to>
      <xdr:col>5</xdr:col>
      <xdr:colOff>781049</xdr:colOff>
      <xdr:row>25</xdr:row>
      <xdr:rowOff>123825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5A134942-438F-4EF6-97A9-BA7CC91B3DE6}"/>
            </a:ext>
          </a:extLst>
        </xdr:cNvPr>
        <xdr:cNvSpPr/>
      </xdr:nvSpPr>
      <xdr:spPr>
        <a:xfrm>
          <a:off x="1781174" y="1695448"/>
          <a:ext cx="4086225" cy="3819527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 baseline="0">
              <a:solidFill>
                <a:schemeClr val="bg2">
                  <a:lumMod val="90000"/>
                </a:schemeClr>
              </a:solidFill>
            </a:rPr>
            <a:t>PF Real e PF gerado por IA</a:t>
          </a:r>
        </a:p>
      </xdr:txBody>
    </xdr:sp>
    <xdr:clientData/>
  </xdr:twoCellAnchor>
  <xdr:twoCellAnchor>
    <xdr:from>
      <xdr:col>6</xdr:col>
      <xdr:colOff>76200</xdr:colOff>
      <xdr:row>17</xdr:row>
      <xdr:rowOff>180974</xdr:rowOff>
    </xdr:from>
    <xdr:to>
      <xdr:col>10</xdr:col>
      <xdr:colOff>771524</xdr:colOff>
      <xdr:row>25</xdr:row>
      <xdr:rowOff>133350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B6240EEF-9ABC-4978-9FF2-7C51D6F14926}"/>
            </a:ext>
          </a:extLst>
        </xdr:cNvPr>
        <xdr:cNvSpPr/>
      </xdr:nvSpPr>
      <xdr:spPr>
        <a:xfrm>
          <a:off x="6010275" y="4048124"/>
          <a:ext cx="4086224" cy="1476376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 baseline="0">
              <a:solidFill>
                <a:schemeClr val="bg2">
                  <a:lumMod val="90000"/>
                </a:schemeClr>
              </a:solidFill>
            </a:rPr>
            <a:t>Demanda e Justificativa da divergência gerada por IA</a:t>
          </a:r>
        </a:p>
      </xdr:txBody>
    </xdr:sp>
    <xdr:clientData/>
  </xdr:twoCellAnchor>
  <xdr:twoCellAnchor>
    <xdr:from>
      <xdr:col>6</xdr:col>
      <xdr:colOff>76200</xdr:colOff>
      <xdr:row>5</xdr:row>
      <xdr:rowOff>114298</xdr:rowOff>
    </xdr:from>
    <xdr:to>
      <xdr:col>10</xdr:col>
      <xdr:colOff>771524</xdr:colOff>
      <xdr:row>17</xdr:row>
      <xdr:rowOff>76199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B08AF575-66A2-F04F-1B28-068E2110B9A4}"/>
            </a:ext>
          </a:extLst>
        </xdr:cNvPr>
        <xdr:cNvSpPr/>
      </xdr:nvSpPr>
      <xdr:spPr>
        <a:xfrm>
          <a:off x="6010275" y="1695448"/>
          <a:ext cx="4086224" cy="2247901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2">
                  <a:lumMod val="90000"/>
                </a:schemeClr>
              </a:solidFill>
            </a:rPr>
            <a:t>% Erro e Diferença do PF e</a:t>
          </a:r>
          <a:r>
            <a:rPr lang="pt-BR" sz="1100" b="1" baseline="0">
              <a:solidFill>
                <a:schemeClr val="bg2">
                  <a:lumMod val="90000"/>
                </a:schemeClr>
              </a:solidFill>
            </a:rPr>
            <a:t> do PF IA</a:t>
          </a:r>
        </a:p>
      </xdr:txBody>
    </xdr:sp>
    <xdr:clientData/>
  </xdr:twoCellAnchor>
  <xdr:oneCellAnchor>
    <xdr:from>
      <xdr:col>0</xdr:col>
      <xdr:colOff>161925</xdr:colOff>
      <xdr:row>1</xdr:row>
      <xdr:rowOff>395287</xdr:rowOff>
    </xdr:from>
    <xdr:ext cx="842872" cy="43678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C5B61230-E8A0-BD6F-741E-23F82C973648}"/>
            </a:ext>
          </a:extLst>
        </xdr:cNvPr>
        <xdr:cNvSpPr txBox="1"/>
      </xdr:nvSpPr>
      <xdr:spPr>
        <a:xfrm>
          <a:off x="161925" y="1147762"/>
          <a:ext cx="842872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1100" b="1">
              <a:solidFill>
                <a:schemeClr val="bg2">
                  <a:lumMod val="90000"/>
                </a:schemeClr>
              </a:solidFill>
            </a:rPr>
            <a:t>Filtro </a:t>
          </a:r>
        </a:p>
        <a:p>
          <a:pPr algn="ctr"/>
          <a:r>
            <a:rPr lang="pt-BR" sz="1100" b="1">
              <a:solidFill>
                <a:schemeClr val="bg2">
                  <a:lumMod val="90000"/>
                </a:schemeClr>
              </a:solidFill>
            </a:rPr>
            <a:t>Demandas</a:t>
          </a:r>
        </a:p>
      </xdr:txBody>
    </xdr:sp>
    <xdr:clientData/>
  </xdr:oneCellAnchor>
  <xdr:oneCellAnchor>
    <xdr:from>
      <xdr:col>9</xdr:col>
      <xdr:colOff>262494</xdr:colOff>
      <xdr:row>0</xdr:row>
      <xdr:rowOff>285750</xdr:rowOff>
    </xdr:from>
    <xdr:ext cx="1432956" cy="233205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8F51B0A8-3F97-7FB4-9AA7-BFE6A23DC512}"/>
            </a:ext>
          </a:extLst>
        </xdr:cNvPr>
        <xdr:cNvSpPr txBox="1"/>
      </xdr:nvSpPr>
      <xdr:spPr>
        <a:xfrm>
          <a:off x="8739744" y="285750"/>
          <a:ext cx="143295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/>
          <a:r>
            <a:rPr lang="pt-BR" sz="900" b="1">
              <a:solidFill>
                <a:schemeClr val="accent2"/>
              </a:solidFill>
            </a:rPr>
            <a:t>Atualizado em 15/07/2026</a:t>
          </a:r>
        </a:p>
      </xdr:txBody>
    </xdr:sp>
    <xdr:clientData/>
  </xdr:oneCellAnchor>
  <xdr:twoCellAnchor>
    <xdr:from>
      <xdr:col>6</xdr:col>
      <xdr:colOff>171450</xdr:colOff>
      <xdr:row>19</xdr:row>
      <xdr:rowOff>47625</xdr:rowOff>
    </xdr:from>
    <xdr:to>
      <xdr:col>10</xdr:col>
      <xdr:colOff>704475</xdr:colOff>
      <xdr:row>25</xdr:row>
      <xdr:rowOff>66675</xdr:rowOff>
    </xdr:to>
    <xdr:sp macro="" textlink="Tabelas!H16">
      <xdr:nvSpPr>
        <xdr:cNvPr id="6" name="Retângulo 5">
          <a:extLst>
            <a:ext uri="{FF2B5EF4-FFF2-40B4-BE49-F238E27FC236}">
              <a16:creationId xmlns:a16="http://schemas.microsoft.com/office/drawing/2014/main" id="{CC453BA0-0805-4617-B0DB-79CF4924F87D}"/>
            </a:ext>
          </a:extLst>
        </xdr:cNvPr>
        <xdr:cNvSpPr/>
      </xdr:nvSpPr>
      <xdr:spPr>
        <a:xfrm>
          <a:off x="6105525" y="4295775"/>
          <a:ext cx="3923925" cy="1162050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07F6A951-8AFF-4513-B37F-311A54EAFCAA}" type="TxLink">
            <a:rPr lang="en-US" sz="1100" b="1" i="0" u="none" strike="noStrike">
              <a:solidFill>
                <a:schemeClr val="accent1"/>
              </a:solidFill>
              <a:latin typeface="Aptos Narrow"/>
            </a:rPr>
            <a:pPr algn="l"/>
            <a:t>AA1-Erro: subestimei complexidade e itens.
AA2-Subestimei complexidade e ignorei funções.
AA3-Contei apenas parte das funções.
AA4-Esqueci de arredondar o resultado.
AA5-Não somei todos os pontos de função.
AA6-Subestimei a complexidade.</a:t>
          </a:fld>
          <a:endParaRPr lang="pt-BR" sz="11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</xdr:col>
      <xdr:colOff>142875</xdr:colOff>
      <xdr:row>6</xdr:row>
      <xdr:rowOff>180975</xdr:rowOff>
    </xdr:from>
    <xdr:to>
      <xdr:col>5</xdr:col>
      <xdr:colOff>704850</xdr:colOff>
      <xdr:row>25</xdr:row>
      <xdr:rowOff>57150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6CE7120-2592-4124-AB42-563B72256F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152400</xdr:colOff>
      <xdr:row>6</xdr:row>
      <xdr:rowOff>180974</xdr:rowOff>
    </xdr:from>
    <xdr:to>
      <xdr:col>10</xdr:col>
      <xdr:colOff>704475</xdr:colOff>
      <xdr:row>16</xdr:row>
      <xdr:rowOff>171449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0EE211C-0E54-49E2-851B-C9868EE435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 Métricas 80" refreshedDate="46219.604025000001" createdVersion="8" refreshedVersion="8" minRefreshableVersion="3" recordCount="6" xr:uid="{0117F600-154B-4FF5-AFB9-BE44A99C0761}">
  <cacheSource type="worksheet">
    <worksheetSource name="Dif_PF_retorno"/>
  </cacheSource>
  <cacheFields count="22">
    <cacheField name="Demanda" numFmtId="0">
      <sharedItems count="6">
        <s v="AA1"/>
        <s v="AA2"/>
        <s v="AA3"/>
        <s v="AA4"/>
        <s v="AA5"/>
        <s v="AA6"/>
      </sharedItems>
    </cacheField>
    <cacheField name="PF" numFmtId="0">
      <sharedItems containsSemiMixedTypes="0" containsString="0" containsNumber="1" minValue="3.68" maxValue="9.6"/>
    </cacheField>
    <cacheField name="PF_IA" numFmtId="0">
      <sharedItems containsSemiMixedTypes="0" containsString="0" containsNumber="1" containsInteger="1" minValue="4" maxValue="46"/>
    </cacheField>
    <cacheField name="EscopoResumido" numFmtId="0">
      <sharedItems/>
    </cacheField>
    <cacheField name="ResumoErros" numFmtId="0">
      <sharedItems longText="1"/>
    </cacheField>
    <cacheField name="Data contagem" numFmtId="14">
      <sharedItems containsSemiMixedTypes="0" containsNonDate="0" containsDate="1" containsString="0" minDate="2026-07-06T00:00:00" maxDate="2026-07-07T00:00:00"/>
    </cacheField>
    <cacheField name="%Erro" numFmtId="0">
      <sharedItems containsSemiMixedTypes="0" containsString="0" containsNumber="1" minValue="8.6956521739130395" maxValue="660.86956521739125"/>
    </cacheField>
    <cacheField name="Diferenca" numFmtId="0">
      <sharedItems containsSemiMixedTypes="0" containsString="0" containsNumber="1" minValue="0.31999999999999984" maxValue="36.799999999999997"/>
    </cacheField>
    <cacheField name="Justificativa" numFmtId="0">
      <sharedItems count="6">
        <s v="Erro: subestimei complexidade e itens."/>
        <s v="Subestimei complexidade e ignorei funções."/>
        <s v="Contei apenas parte das funções."/>
        <s v="Esqueci de arredondar o resultado."/>
        <s v="Não somei todos os pontos de função."/>
        <s v="Subestimei a complexidade."/>
      </sharedItems>
    </cacheField>
    <cacheField name="Minimo_PF" numFmtId="0">
      <sharedItems containsSemiMixedTypes="0" containsString="0" containsNumber="1" minValue="3.68" maxValue="3.68"/>
    </cacheField>
    <cacheField name="Minimo_PF_IA" numFmtId="0">
      <sharedItems containsSemiMixedTypes="0" containsString="0" containsNumber="1" containsInteger="1" minValue="4" maxValue="4"/>
    </cacheField>
    <cacheField name="Maximo_PF" numFmtId="0">
      <sharedItems containsSemiMixedTypes="0" containsString="0" containsNumber="1" minValue="9.6" maxValue="9.6"/>
    </cacheField>
    <cacheField name="Maximo_PF_IA" numFmtId="0">
      <sharedItems containsSemiMixedTypes="0" containsString="0" containsNumber="1" containsInteger="1" minValue="46" maxValue="46"/>
    </cacheField>
    <cacheField name="Media_PF" numFmtId="0">
      <sharedItems containsSemiMixedTypes="0" containsString="0" containsNumber="1" minValue="6.43" maxValue="6.43"/>
    </cacheField>
    <cacheField name="Media_PF_IA" numFmtId="0">
      <sharedItems containsSemiMixedTypes="0" containsString="0" containsNumber="1" minValue="23.166666666666668" maxValue="23.166666666666668"/>
    </cacheField>
    <cacheField name="Mediana_PF" numFmtId="0">
      <sharedItems containsSemiMixedTypes="0" containsString="0" containsNumber="1" minValue="5.75" maxValue="5.75"/>
    </cacheField>
    <cacheField name="Mediana_PF_IA" numFmtId="0">
      <sharedItems containsSemiMixedTypes="0" containsString="0" containsNumber="1" minValue="21.5" maxValue="21.5"/>
    </cacheField>
    <cacheField name="Desvio_PF" numFmtId="0">
      <sharedItems containsSemiMixedTypes="0" containsString="0" containsNumber="1" minValue="2.5378337218974765" maxValue="2.5378337218974765"/>
    </cacheField>
    <cacheField name="Desvio_PF_IA" numFmtId="0">
      <sharedItems containsSemiMixedTypes="0" containsString="0" containsNumber="1" minValue="15.535979745953156" maxValue="15.535979745953156"/>
    </cacheField>
    <cacheField name="%Erro_Total" numFmtId="0">
      <sharedItems containsSemiMixedTypes="0" containsString="0" containsNumber="1" minValue="260.29030585795749" maxValue="260.29030585795749"/>
    </cacheField>
    <cacheField name="Diferenca_Total" numFmtId="0">
      <sharedItems containsSemiMixedTypes="0" containsString="0" containsNumber="1" minValue="100.42" maxValue="100.42"/>
    </cacheField>
    <cacheField name="Justification" numFmtId="0">
      <sharedItems count="6">
        <s v="Error: I underestimated the complexity and the items."/>
        <s v="I underestimated the complexity and ignored functions."/>
        <s v="I measured only part of the functions."/>
        <s v="I forgot to round the result."/>
        <s v="I didn't add up all the function points."/>
        <s v="I underestimated the complexity."/>
      </sharedItems>
    </cacheField>
  </cacheFields>
  <extLst>
    <ext xmlns:x14="http://schemas.microsoft.com/office/spreadsheetml/2009/9/main" uri="{725AE2AE-9491-48be-B2B4-4EB974FC3084}">
      <x14:pivotCacheDefinition pivotCacheId="131222456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4.5999999999999996"/>
    <n v="25"/>
    <s v="EmissÃ£o de Nota em lote, "/>
    <s v="Excel -&gt; AIE;_x000a_ConfirmaÃ§Ã£o emissÃ£o -&gt; SE;_x000a_Download template - CE;_x000a_Lista de erros na emissÃ£o -&gt; CE"/>
    <d v="2026-07-06T00:00:00"/>
    <n v="443.47826086956525"/>
    <n v="20.399999999999999"/>
    <x v="0"/>
    <n v="3.68"/>
    <n v="4"/>
    <n v="9.6"/>
    <n v="46"/>
    <n v="6.43"/>
    <n v="23.166666666666668"/>
    <n v="5.75"/>
    <n v="21.5"/>
    <n v="2.5378337218974765"/>
    <n v="15.535979745953156"/>
    <n v="260.29030585795749"/>
    <n v="100.42"/>
    <x v="0"/>
  </r>
  <r>
    <x v="1"/>
    <n v="4.5999999999999996"/>
    <n v="35"/>
    <s v="EmissÃ£o de nota manual"/>
    <s v="Estrutura de dado nÃ£o encontrada no escopo -&gt; Ali_x000a_validaÃ§Ã£o CNPJ -&gt; AIE_x000a_ValidaÃ§Ã£o municipio -&gt; AIE_x000a_EmissÃ£o de mensagem de erro -&gt; SE_x000a_EmissÃ£o de mensagem de confirmaÃ§Ã£o -&gt; SE"/>
    <d v="2026-07-06T00:00:00"/>
    <n v="660.86956521739125"/>
    <n v="30.4"/>
    <x v="1"/>
    <n v="3.68"/>
    <n v="4"/>
    <n v="9.6"/>
    <n v="46"/>
    <n v="6.43"/>
    <n v="23.166666666666668"/>
    <n v="5.75"/>
    <n v="21.5"/>
    <n v="2.5378337218974765"/>
    <n v="15.535979745953156"/>
    <n v="260.29030585795749"/>
    <n v="100.42"/>
    <x v="1"/>
  </r>
  <r>
    <x v="2"/>
    <n v="9.1999999999999993"/>
    <n v="46"/>
    <s v="Consultar nota XML e crÃ­ticas"/>
    <s v="Filtros para se executar consulta -&gt; EE_x000a_Botao de aÃ§Ã£o do filtro -&gt; EE_x000a_Foram contados saida externa e consulta externa para as funcionalidades de consultar XML e consultar crÃ­ticas, As funcionalidades procedem entretanto Ã© contada apenas uma vez pela tÃ©cnica, -&gt; CE e SE 2x_x000a_Base de Notas e crÃ­ticas -&gt; ALI (que sÃ³ foram consultadas)_x000a_Mensagem vivo -&gt;AIE_x000a_IntegraÃ§Ã£o prefeitura ,&gt; AIE_x000a_"/>
    <d v="2026-07-06T00:00:00"/>
    <n v="400"/>
    <n v="36.799999999999997"/>
    <x v="2"/>
    <n v="3.68"/>
    <n v="4"/>
    <n v="9.6"/>
    <n v="46"/>
    <n v="6.43"/>
    <n v="23.166666666666668"/>
    <n v="5.75"/>
    <n v="21.5"/>
    <n v="2.5378337218974765"/>
    <n v="15.535979745953156"/>
    <n v="260.29030585795749"/>
    <n v="100.42"/>
    <x v="2"/>
  </r>
  <r>
    <x v="3"/>
    <n v="3.68"/>
    <n v="4"/>
    <s v="Consultar menu"/>
    <s v="A IA ficou com dÃºvida se a funcionalidade era 3 ou 4 PFs, Coloquei o maior valor,"/>
    <d v="2026-07-06T00:00:00"/>
    <n v="8.6956521739130395"/>
    <n v="0.31999999999999984"/>
    <x v="3"/>
    <n v="3.68"/>
    <n v="4"/>
    <n v="9.6"/>
    <n v="46"/>
    <n v="6.43"/>
    <n v="23.166666666666668"/>
    <n v="5.75"/>
    <n v="21.5"/>
    <n v="2.5378337218974765"/>
    <n v="15.535979745953156"/>
    <n v="260.29030585795749"/>
    <n v="100.42"/>
    <x v="3"/>
  </r>
  <r>
    <x v="4"/>
    <n v="6.9"/>
    <n v="18"/>
    <s v="Consulta telas de links (6 telas)"/>
    <s v="Consulta externa para consultar telas fixas, com hiperlinks,"/>
    <d v="2026-07-06T00:00:00"/>
    <n v="160.86956521739128"/>
    <n v="11.1"/>
    <x v="4"/>
    <n v="3.68"/>
    <n v="4"/>
    <n v="9.6"/>
    <n v="46"/>
    <n v="6.43"/>
    <n v="23.166666666666668"/>
    <n v="5.75"/>
    <n v="21.5"/>
    <n v="2.5378337218974765"/>
    <n v="15.535979745953156"/>
    <n v="260.29030585795749"/>
    <n v="100.42"/>
    <x v="4"/>
  </r>
  <r>
    <x v="5"/>
    <n v="9.6"/>
    <n v="11"/>
    <s v="Parametrizar acesso"/>
    <s v="Itens parametrizados contados como se houvesse alteraÃ§Ã£o no desenvolvimento das funÃ§Ãµes,"/>
    <d v="2026-07-06T00:00:00"/>
    <n v="14.583333333333337"/>
    <n v="1.4000000000000004"/>
    <x v="5"/>
    <n v="3.68"/>
    <n v="4"/>
    <n v="9.6"/>
    <n v="46"/>
    <n v="6.43"/>
    <n v="23.166666666666668"/>
    <n v="5.75"/>
    <n v="21.5"/>
    <n v="2.5378337218974765"/>
    <n v="15.535979745953156"/>
    <n v="260.29030585795749"/>
    <n v="100.42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4D7B27-619C-408D-BBF4-814CA05132F6}" name="Tabela dinâmica19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A6" firstHeaderRow="1" firstDataRow="1" firstDataCol="0"/>
  <pivotFields count="22">
    <pivotField showAll="0">
      <items count="7">
        <item h="1" x="0"/>
        <item h="1" x="1"/>
        <item x="2"/>
        <item h="1" x="3"/>
        <item h="1" x="4"/>
        <item h="1" x="5"/>
        <item t="default"/>
      </items>
    </pivotField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Média PF" fld="1" subtotal="average" baseField="0" baseItem="0" numFmtId="164"/>
  </dataFields>
  <formats count="3">
    <format dxfId="182">
      <pivotArea type="all" dataOnly="0" outline="0" fieldPosition="0"/>
    </format>
    <format dxfId="181">
      <pivotArea outline="0" collapsedLevelsAreSubtotals="1" fieldPosition="0"/>
    </format>
    <format dxfId="18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B2D20-8BF9-4037-BA28-CA09B03F157E}" name="Tabela dinâmica25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14:C15" firstHeaderRow="1" firstDataRow="1" firstDataCol="0"/>
  <pivotFields count="22">
    <pivotField showAll="0">
      <items count="7">
        <item h="1" x="0"/>
        <item h="1" x="1"/>
        <item x="2"/>
        <item h="1" x="3"/>
        <item h="1" x="4"/>
        <item h="1" x="5"/>
        <item t="default"/>
      </items>
    </pivotField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 Diferença" fld="7" baseField="0" baseItem="0" numFmtId="164"/>
  </dataFields>
  <formats count="3">
    <format dxfId="185">
      <pivotArea type="all" dataOnly="0" outline="0" fieldPosition="0"/>
    </format>
    <format dxfId="184">
      <pivotArea outline="0" collapsedLevelsAreSubtotals="1" fieldPosition="0"/>
    </format>
    <format dxfId="18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046600-9FF0-4C76-9033-7777A4D0CA22}" name="Tabela dinâmica20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8:A9" firstHeaderRow="1" firstDataRow="1" firstDataCol="0"/>
  <pivotFields count="22">
    <pivotField showAll="0">
      <items count="7">
        <item h="1" x="0"/>
        <item h="1" x="1"/>
        <item x="2"/>
        <item h="1" x="3"/>
        <item h="1" x="4"/>
        <item h="1" x="5"/>
        <item t="default"/>
      </items>
    </pivotField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Mín. PF" fld="1" subtotal="min" baseField="0" baseItem="0" numFmtId="164"/>
  </dataFields>
  <formats count="3">
    <format dxfId="188">
      <pivotArea type="all" dataOnly="0" outline="0" fieldPosition="0"/>
    </format>
    <format dxfId="187">
      <pivotArea outline="0" collapsedLevelsAreSubtotals="1" fieldPosition="0"/>
    </format>
    <format dxfId="18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03E362-2821-4398-AA37-EC74A1941F59}" name="Tabela dinâmica27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L1:N3" firstHeaderRow="0" firstDataRow="1" firstDataCol="1"/>
  <pivotFields count="22">
    <pivotField axis="axisRow" showAll="0" sortType="descending">
      <items count="7">
        <item h="1" x="0"/>
        <item h="1" x="1"/>
        <item x="2"/>
        <item h="1" x="3"/>
        <item h="1" x="4"/>
        <item h="1" x="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"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 PF" fld="1" baseField="0" baseItem="0"/>
    <dataField name="PF AI" fld="2" baseField="0" baseItem="0"/>
  </dataFields>
  <formats count="1">
    <format dxfId="189">
      <pivotArea outline="0" collapsedLevelsAreSubtotals="1" fieldPosition="0"/>
    </format>
  </formats>
  <chartFormats count="6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2524E3-E908-434C-9438-38CB1C163D89}" name="Tabela dinâmica21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8:C9" firstHeaderRow="1" firstDataRow="1" firstDataCol="0"/>
  <pivotFields count="22">
    <pivotField showAll="0">
      <items count="7">
        <item h="1" x="0"/>
        <item h="1" x="1"/>
        <item x="2"/>
        <item h="1" x="3"/>
        <item h="1" x="4"/>
        <item h="1" x="5"/>
        <item t="default"/>
      </items>
    </pivotField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Mín. PF IA" fld="2" subtotal="min" baseField="0" baseItem="0" numFmtId="164"/>
  </dataFields>
  <formats count="3">
    <format dxfId="192">
      <pivotArea type="all" dataOnly="0" outline="0" fieldPosition="0"/>
    </format>
    <format dxfId="191">
      <pivotArea outline="0" collapsedLevelsAreSubtotals="1" fieldPosition="0"/>
    </format>
    <format dxfId="19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57456E-DCF7-4A9A-B126-E878701D79BD}" name="Tabela dinâmica16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:A3" firstHeaderRow="1" firstDataRow="1" firstDataCol="0"/>
  <pivotFields count="22">
    <pivotField showAll="0">
      <items count="7">
        <item h="1" x="0"/>
        <item h="1" x="1"/>
        <item x="2"/>
        <item h="1" x="3"/>
        <item h="1" x="4"/>
        <item h="1" x="5"/>
        <item t="default"/>
      </items>
    </pivotField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oma PF" fld="1" baseField="0" baseItem="0" numFmtId="164"/>
  </dataFields>
  <formats count="1">
    <format dxfId="19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858B6D-278A-4C67-B410-B28D61BB27E2}" name="Tabela dinâmica17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2:C3" firstHeaderRow="1" firstDataRow="1" firstDataCol="0"/>
  <pivotFields count="22">
    <pivotField showAll="0">
      <items count="7">
        <item h="1" x="0"/>
        <item h="1" x="1"/>
        <item x="2"/>
        <item h="1" x="3"/>
        <item h="1" x="4"/>
        <item h="1" x="5"/>
        <item t="default"/>
      </items>
    </pivotField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oma PF IA" fld="2" baseField="0" baseItem="0" numFmtId="164"/>
  </dataFields>
  <formats count="1">
    <format dxfId="19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E1A854-D071-400F-9431-3A9D6FCB18A0}" name="Tabela dinâmica28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6">
  <location ref="L11:N13" firstHeaderRow="0" firstDataRow="1" firstDataCol="1"/>
  <pivotFields count="22">
    <pivotField axis="axisRow" showAll="0">
      <items count="7">
        <item h="1" x="0"/>
        <item h="1" x="1"/>
        <item x="2"/>
        <item h="1" x="3"/>
        <item h="1" x="4"/>
        <item h="1" x="5"/>
        <item t="default"/>
      </items>
    </pivotField>
    <pivotField showAll="0"/>
    <pivotField showAll="0"/>
    <pivotField showAll="0"/>
    <pivotField showAll="0"/>
    <pivotField numFmtId="14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"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 %Error" fld="6" subtotal="average" baseField="0" baseItem="0"/>
    <dataField name=" Diference" fld="7" baseField="0" baseItem="0"/>
  </dataFields>
  <formats count="1">
    <format dxfId="195">
      <pivotArea outline="0" collapsedLevelsAreSubtotals="1" fieldPosition="0"/>
    </format>
  </formats>
  <chartFormats count="9">
    <chartFormat chart="1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14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2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C2C97E-64A8-4C17-9950-8E360C0346D7}" name="Tabela dinâmica22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11:C12" firstHeaderRow="1" firstDataRow="1" firstDataCol="0"/>
  <pivotFields count="22">
    <pivotField showAll="0">
      <items count="7">
        <item h="1" x="0"/>
        <item h="1" x="1"/>
        <item x="2"/>
        <item h="1" x="3"/>
        <item h="1" x="4"/>
        <item h="1" x="5"/>
        <item t="default"/>
      </items>
    </pivotField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Máx. PF IA" fld="2" subtotal="max" baseField="0" baseItem="0" numFmtId="164"/>
  </dataFields>
  <formats count="3">
    <format dxfId="198">
      <pivotArea type="all" dataOnly="0" outline="0" fieldPosition="0"/>
    </format>
    <format dxfId="197">
      <pivotArea outline="0" collapsedLevelsAreSubtotals="1" fieldPosition="0"/>
    </format>
    <format dxfId="19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1E3687-BE02-4E0C-A4EC-3D9C8F58E65D}" name="Tabela dinâmica18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5:C6" firstHeaderRow="1" firstDataRow="1" firstDataCol="0"/>
  <pivotFields count="22">
    <pivotField showAll="0">
      <items count="7">
        <item h="1" x="0"/>
        <item h="1" x="1"/>
        <item x="2"/>
        <item h="1" x="3"/>
        <item h="1" x="4"/>
        <item h="1" x="5"/>
        <item t="default"/>
      </items>
    </pivotField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Média PF IA" fld="2" subtotal="average" baseField="0" baseItem="0" numFmtId="164"/>
  </dataFields>
  <formats count="3">
    <format dxfId="201">
      <pivotArea type="all" dataOnly="0" outline="0" fieldPosition="0"/>
    </format>
    <format dxfId="200">
      <pivotArea outline="0" collapsedLevelsAreSubtotals="1" fieldPosition="0"/>
    </format>
    <format dxfId="19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C09C96-8278-4C5A-B2BD-07649DA5D815}" name="Tabela dinâmica30" cacheId="4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7">
  <location ref="F1:G2" firstHeaderRow="1" firstDataRow="1" firstDataCol="2"/>
  <pivotFields count="22">
    <pivotField axis="axisRow" compact="0" outline="0" showAll="0" defaultSubtotal="0">
      <items count="6">
        <item h="1" x="0"/>
        <item h="1" x="1"/>
        <item x="2"/>
        <item h="1" x="3"/>
        <item h="1" x="4"/>
        <item h="1" x="5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6">
        <item x="2"/>
        <item x="0"/>
        <item x="3"/>
        <item x="4"/>
        <item x="5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6">
        <item x="0"/>
        <item x="4"/>
        <item x="3"/>
        <item x="2"/>
        <item x="1"/>
        <item x="5"/>
      </items>
    </pivotField>
  </pivotFields>
  <rowFields count="2">
    <field x="0"/>
    <field x="21"/>
  </rowFields>
  <rowItems count="1">
    <i>
      <x v="2"/>
      <x v="3"/>
    </i>
  </rowItems>
  <colItems count="1">
    <i/>
  </colItems>
  <formats count="1">
    <format dxfId="20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99F50-549D-4991-99C8-1285FC9BD5BD}" name="Tabela dinâmica23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1:A12" firstHeaderRow="1" firstDataRow="1" firstDataCol="0"/>
  <pivotFields count="22">
    <pivotField showAll="0">
      <items count="7">
        <item h="1" x="0"/>
        <item h="1" x="1"/>
        <item x="2"/>
        <item h="1" x="3"/>
        <item h="1" x="4"/>
        <item h="1" x="5"/>
        <item t="default"/>
      </items>
    </pivotField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Máx. PF" fld="1" subtotal="max" baseField="0" baseItem="0" numFmtId="164"/>
  </dataFields>
  <formats count="3">
    <format dxfId="205">
      <pivotArea type="all" dataOnly="0" outline="0" fieldPosition="0"/>
    </format>
    <format dxfId="204">
      <pivotArea outline="0" collapsedLevelsAreSubtotals="1" fieldPosition="0"/>
    </format>
    <format dxfId="20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7D7DFE-20FE-41DD-A042-F0AED9114E18}" name="Tabela dinâmica24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4:A15" firstHeaderRow="1" firstDataRow="1" firstDataCol="0"/>
  <pivotFields count="22">
    <pivotField showAll="0">
      <items count="7">
        <item h="1" x="0"/>
        <item h="1" x="1"/>
        <item x="2"/>
        <item h="1" x="3"/>
        <item h="1" x="4"/>
        <item h="1" x="5"/>
        <item t="default"/>
      </items>
    </pivotField>
    <pivotField showAll="0"/>
    <pivotField showAll="0"/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 %Erro" fld="6" subtotal="average" baseField="0" baseItem="0" numFmtId="164"/>
  </dataFields>
  <formats count="3">
    <format dxfId="208">
      <pivotArea type="all" dataOnly="0" outline="0" fieldPosition="0"/>
    </format>
    <format dxfId="207">
      <pivotArea outline="0" collapsedLevelsAreSubtotals="1" fieldPosition="0"/>
    </format>
    <format dxfId="20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2187B4-2119-4573-996B-DBFBE670F574}" name="Tabela dinâmica23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1:A12" firstHeaderRow="1" firstDataRow="1" firstDataCol="0"/>
  <pivotFields count="22">
    <pivotField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Máx. PF" fld="1" subtotal="max" baseField="0" baseItem="0" numFmtId="164"/>
  </dataFields>
  <formats count="3">
    <format dxfId="152">
      <pivotArea type="all" dataOnly="0" outline="0" fieldPosition="0"/>
    </format>
    <format dxfId="151">
      <pivotArea outline="0" collapsedLevelsAreSubtotals="1" fieldPosition="0"/>
    </format>
    <format dxfId="15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59BD2B-203D-4453-BD0D-2EC4765167A2}" name="Tabela dinâmica28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>
  <location ref="L11:N18" firstHeaderRow="0" firstDataRow="1" firstDataCol="1"/>
  <pivotFields count="22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numFmtId="14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 %Erro" fld="6" subtotal="average" baseField="0" baseItem="0"/>
    <dataField name=" Diferença" fld="7" baseField="0" baseItem="0"/>
  </dataFields>
  <formats count="1">
    <format dxfId="153">
      <pivotArea outline="0" collapsedLevelsAreSubtotals="1" fieldPosition="0"/>
    </format>
  </formats>
  <chartFormats count="3">
    <chartFormat chart="1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6BFF9-D3FA-4454-9FF0-66BAF9C9BD54}" name="Tabela dinâmica17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2:C3" firstHeaderRow="1" firstDataRow="1" firstDataCol="0"/>
  <pivotFields count="22"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oma PF IA" fld="2" baseField="0" baseItem="0" numFmtId="164"/>
  </dataFields>
  <formats count="1">
    <format dxfId="15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D68026-9BC4-498F-A4AC-A1D990FAA9B5}" name="Tabela dinâmica22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11:C12" firstHeaderRow="1" firstDataRow="1" firstDataCol="0"/>
  <pivotFields count="22"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Máx. PF IA" fld="2" subtotal="max" baseField="0" baseItem="0" numFmtId="164"/>
  </dataFields>
  <formats count="3">
    <format dxfId="157">
      <pivotArea type="all" dataOnly="0" outline="0" fieldPosition="0"/>
    </format>
    <format dxfId="156">
      <pivotArea outline="0" collapsedLevelsAreSubtotals="1" fieldPosition="0"/>
    </format>
    <format dxfId="15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461AFC-45FB-4085-8389-C7E62E2C2EFC}" name="Tabela dinâmica16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:A3" firstHeaderRow="1" firstDataRow="1" firstDataCol="0"/>
  <pivotFields count="22">
    <pivotField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oma PF" fld="1" baseField="0" baseItem="0" numFmtId="164"/>
  </dataFields>
  <formats count="1">
    <format dxfId="15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B18B92-11FF-46A3-9F5D-FBAF1A1F16DA}" name="Tabela dinâmica21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8:C9" firstHeaderRow="1" firstDataRow="1" firstDataCol="0"/>
  <pivotFields count="22"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Mín. PF IA" fld="2" subtotal="min" baseField="0" baseItem="0" numFmtId="164"/>
  </dataFields>
  <formats count="3">
    <format dxfId="161">
      <pivotArea type="all" dataOnly="0" outline="0" fieldPosition="0"/>
    </format>
    <format dxfId="160">
      <pivotArea outline="0" collapsedLevelsAreSubtotals="1" fieldPosition="0"/>
    </format>
    <format dxfId="15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0D9DB-8C6F-4570-AD83-D7B3C5CAF358}" name="Tabela dinâmica27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L1:N8" firstHeaderRow="0" firstDataRow="1" firstDataCol="1"/>
  <pivotFields count="22">
    <pivotField axis="axisRow" showAll="0" sortType="descending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7">
    <i>
      <x v="2"/>
    </i>
    <i>
      <x v="1"/>
    </i>
    <i>
      <x/>
    </i>
    <i>
      <x v="4"/>
    </i>
    <i>
      <x v="5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PF" fld="1" baseField="0" baseItem="0"/>
    <dataField name="Soma de PF_IA" fld="2" baseField="0" baseItem="0"/>
  </dataFields>
  <formats count="1">
    <format dxfId="162">
      <pivotArea outline="0" collapsedLevelsAreSubtotals="1" fieldPosition="0"/>
    </format>
  </formats>
  <chartFormats count="2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A5E453-897A-4708-949C-1CC4D3550F21}" name="Tabela dinâmica20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8:A9" firstHeaderRow="1" firstDataRow="1" firstDataCol="0"/>
  <pivotFields count="22">
    <pivotField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Mín. PF" fld="1" subtotal="min" baseField="0" baseItem="0" numFmtId="164"/>
  </dataFields>
  <formats count="3">
    <format dxfId="165">
      <pivotArea type="all" dataOnly="0" outline="0" fieldPosition="0"/>
    </format>
    <format dxfId="164">
      <pivotArea outline="0" collapsedLevelsAreSubtotals="1" fieldPosition="0"/>
    </format>
    <format dxfId="16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6E4A46-131D-49FD-BB3A-3508722CE395}" name="Tabela dinâmica25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14:C15" firstHeaderRow="1" firstDataRow="1" firstDataCol="0"/>
  <pivotFields count="22"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 Diferença" fld="7" baseField="0" baseItem="0" numFmtId="164"/>
  </dataFields>
  <formats count="3">
    <format dxfId="168">
      <pivotArea type="all" dataOnly="0" outline="0" fieldPosition="0"/>
    </format>
    <format dxfId="167">
      <pivotArea outline="0" collapsedLevelsAreSubtotals="1" fieldPosition="0"/>
    </format>
    <format dxfId="16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F71617-A4AE-43FC-94D2-33E893D5A9DA}" name="Tabela dinâmica19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A6" firstHeaderRow="1" firstDataRow="1" firstDataCol="0"/>
  <pivotFields count="22">
    <pivotField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Média PF" fld="1" subtotal="average" baseField="0" baseItem="0" numFmtId="164"/>
  </dataFields>
  <formats count="3">
    <format dxfId="171">
      <pivotArea type="all" dataOnly="0" outline="0" fieldPosition="0"/>
    </format>
    <format dxfId="170">
      <pivotArea outline="0" collapsedLevelsAreSubtotals="1" fieldPosition="0"/>
    </format>
    <format dxfId="16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074D50-6FCF-47D8-AFCD-6259FCE5B193}" name="Tabela dinâmica24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4:A15" firstHeaderRow="1" firstDataRow="1" firstDataCol="0"/>
  <pivotFields count="22"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 %Erro" fld="6" subtotal="average" baseField="0" baseItem="0" numFmtId="164"/>
  </dataFields>
  <formats count="3">
    <format dxfId="174">
      <pivotArea type="all" dataOnly="0" outline="0" fieldPosition="0"/>
    </format>
    <format dxfId="173">
      <pivotArea outline="0" collapsedLevelsAreSubtotals="1" fieldPosition="0"/>
    </format>
    <format dxfId="17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4A0A17-E659-4636-B3F8-203037848848}" name="Tabela dinâmica30" cacheId="4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7">
  <location ref="F1:G7" firstHeaderRow="1" firstDataRow="1" firstDataCol="2"/>
  <pivotFields count="22"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x="2"/>
        <item x="0"/>
        <item x="3"/>
        <item x="4"/>
        <item x="5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</pivotFields>
  <rowFields count="2">
    <field x="0"/>
    <field x="8"/>
  </rowFields>
  <rowItems count="6">
    <i>
      <x/>
      <x v="1"/>
    </i>
    <i>
      <x v="1"/>
      <x v="5"/>
    </i>
    <i>
      <x v="2"/>
      <x/>
    </i>
    <i>
      <x v="3"/>
      <x v="2"/>
    </i>
    <i>
      <x v="4"/>
      <x v="3"/>
    </i>
    <i>
      <x v="5"/>
      <x v="4"/>
    </i>
  </rowItems>
  <colItems count="1">
    <i/>
  </colItems>
  <formats count="1">
    <format dxfId="17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453BEE-2C3F-4B63-A677-C4812E79AC35}" name="Tabela dinâmica29" cacheId="4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7">
  <location ref="F17:G23" firstHeaderRow="1" firstDataRow="1" firstDataCol="2"/>
  <pivotFields count="22"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x="2"/>
        <item x="0"/>
        <item x="3"/>
        <item x="4"/>
        <item x="5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</pivotFields>
  <rowFields count="2">
    <field x="0"/>
    <field x="8"/>
  </rowFields>
  <rowItems count="6">
    <i>
      <x/>
      <x v="1"/>
    </i>
    <i>
      <x v="1"/>
      <x v="5"/>
    </i>
    <i>
      <x v="2"/>
      <x/>
    </i>
    <i>
      <x v="3"/>
      <x v="2"/>
    </i>
    <i>
      <x v="4"/>
      <x v="3"/>
    </i>
    <i>
      <x v="5"/>
      <x v="4"/>
    </i>
  </rowItems>
  <colItems count="1">
    <i/>
  </colItems>
  <formats count="1">
    <format dxfId="17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26F47B-4293-40D7-BC46-515D5B783559}" name="Tabela dinâmica18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5:C6" firstHeaderRow="1" firstDataRow="1" firstDataCol="0"/>
  <pivotFields count="22"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Média PF IA" fld="2" subtotal="average" baseField="0" baseItem="0" numFmtId="164"/>
  </dataFields>
  <formats count="3">
    <format dxfId="179">
      <pivotArea type="all" dataOnly="0" outline="0" fieldPosition="0"/>
    </format>
    <format dxfId="178">
      <pivotArea outline="0" collapsedLevelsAreSubtotals="1" fieldPosition="0"/>
    </format>
    <format dxfId="17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9999CDD-27CD-4D20-A88F-7AD22989207D}" autoFormatId="16" applyNumberFormats="0" applyBorderFormats="0" applyFontFormats="0" applyPatternFormats="0" applyAlignmentFormats="0" applyWidthHeightFormats="0">
  <queryTableRefresh nextId="23" unboundColumnsRight="1">
    <queryTableFields count="22">
      <queryTableField id="1" name="Demanda" tableColumnId="1"/>
      <queryTableField id="2" name="PF" tableColumnId="2"/>
      <queryTableField id="3" name="PF_IA" tableColumnId="3"/>
      <queryTableField id="4" name="EscopoResumido" tableColumnId="4"/>
      <queryTableField id="5" name="ResumoErros" tableColumnId="5"/>
      <queryTableField id="6" name="Data contagem" tableColumnId="6"/>
      <queryTableField id="7" name="%Erro" tableColumnId="7"/>
      <queryTableField id="8" name="Diferenca" tableColumnId="8"/>
      <queryTableField id="9" name="Justificativa" tableColumnId="9"/>
      <queryTableField id="10" name="Minimo_PF" tableColumnId="10"/>
      <queryTableField id="11" name="Minimo_PF_IA" tableColumnId="11"/>
      <queryTableField id="12" name="Maximo_PF" tableColumnId="12"/>
      <queryTableField id="13" name="Maximo_PF_IA" tableColumnId="13"/>
      <queryTableField id="14" name="Media_PF" tableColumnId="14"/>
      <queryTableField id="15" name="Media_PF_IA" tableColumnId="15"/>
      <queryTableField id="16" name="Mediana_PF" tableColumnId="16"/>
      <queryTableField id="17" name="Mediana_PF_IA" tableColumnId="17"/>
      <queryTableField id="18" name="Desvio_PF" tableColumnId="18"/>
      <queryTableField id="19" name="Desvio_PF_IA" tableColumnId="19"/>
      <queryTableField id="20" name="%Erro_Total" tableColumnId="20"/>
      <queryTableField id="21" name="Diferenca_Total" tableColumnId="21"/>
      <queryTableField id="22" dataBound="0" tableColumnId="2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emanda" xr10:uid="{17B7A10A-BE20-4C8B-B44C-6972CFAA95A4}" sourceName="Demanda">
  <pivotTables>
    <pivotTable tabId="1" name="Tabela dinâmica16"/>
    <pivotTable tabId="1" name="Tabela dinâmica17"/>
    <pivotTable tabId="1" name="Tabela dinâmica18"/>
    <pivotTable tabId="1" name="Tabela dinâmica19"/>
    <pivotTable tabId="1" name="Tabela dinâmica20"/>
    <pivotTable tabId="1" name="Tabela dinâmica21"/>
    <pivotTable tabId="1" name="Tabela dinâmica22"/>
    <pivotTable tabId="1" name="Tabela dinâmica23"/>
    <pivotTable tabId="1" name="Tabela dinâmica24"/>
    <pivotTable tabId="1" name="Tabela dinâmica25"/>
    <pivotTable tabId="1" name="Tabela dinâmica27"/>
    <pivotTable tabId="1" name="Tabela dinâmica28"/>
    <pivotTable tabId="1" name="Tabela dinâmica29"/>
    <pivotTable tabId="1" name="Tabela dinâmica30"/>
  </pivotTables>
  <data>
    <tabular pivotCacheId="1312224567">
      <items count="6">
        <i x="0" s="1"/>
        <i x="1" s="1"/>
        <i x="2" s="1"/>
        <i x="3" s="1"/>
        <i x="4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manda 1" xr10:uid="{B965DF8B-0F92-4A47-81DF-C40EBBA6A8B4}" cache="SegmentaçãodeDados_Demanda" caption="Demanda" style="SlicerStyleLight1 2" rowHeight="252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manda" xr10:uid="{039EB0D9-567A-4DC6-942E-11FB435BDF4D}" cache="SegmentaçãodeDados_Demanda" caption="Demanda" style="SlicerStyleLight1 2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5F7AA2-02D7-434F-BEC9-3FBB450FD5B4}" name="Dif_PF_retorno" displayName="Dif_PF_retorno" ref="A1:V7" tableType="queryTable" totalsRowShown="0">
  <autoFilter ref="A1:V7" xr:uid="{D95F7AA2-02D7-434F-BEC9-3FBB450FD5B4}"/>
  <tableColumns count="22">
    <tableColumn id="1" xr3:uid="{AF770FB7-7C33-47ED-BE92-BC2ECB51BC61}" uniqueName="1" name="Demanda" queryTableFieldId="1" dataDxfId="213"/>
    <tableColumn id="2" xr3:uid="{3660F3F2-B6C4-4528-B0D2-12E1C7BA5376}" uniqueName="2" name="PF" queryTableFieldId="2"/>
    <tableColumn id="3" xr3:uid="{43E10021-2405-4546-BF49-8C284955F946}" uniqueName="3" name="PF_IA" queryTableFieldId="3"/>
    <tableColumn id="4" xr3:uid="{BB2D3556-970A-4E65-A134-485454839B99}" uniqueName="4" name="EscopoResumido" queryTableFieldId="4" dataDxfId="212"/>
    <tableColumn id="5" xr3:uid="{35D9108D-B970-45E4-AE82-95B6C77D44A5}" uniqueName="5" name="ResumoErros" queryTableFieldId="5" dataDxfId="211"/>
    <tableColumn id="6" xr3:uid="{9B4B3B43-E604-4C64-9590-D0FA9DA6A360}" uniqueName="6" name="Data contagem" queryTableFieldId="6" dataDxfId="210"/>
    <tableColumn id="7" xr3:uid="{0FEBAF32-32FB-4F95-9EC7-1A5AD0B7FED3}" uniqueName="7" name="%Erro" queryTableFieldId="7"/>
    <tableColumn id="8" xr3:uid="{C5F68BD5-901C-4D2B-8E0E-22B6CAF0B2AE}" uniqueName="8" name="Diferenca" queryTableFieldId="8"/>
    <tableColumn id="9" xr3:uid="{F037F8D1-55F8-4CD3-96D0-18D2FF1834AD}" uniqueName="9" name="Justificativa" queryTableFieldId="9" dataDxfId="209"/>
    <tableColumn id="10" xr3:uid="{6DB34CDA-AC6B-4656-BE1D-2C602603B0BD}" uniqueName="10" name="Minimo_PF" queryTableFieldId="10"/>
    <tableColumn id="11" xr3:uid="{F53C52F6-51FD-4092-9832-D1E9C9F36699}" uniqueName="11" name="Minimo_PF_IA" queryTableFieldId="11"/>
    <tableColumn id="12" xr3:uid="{63CA7D9F-AF1B-4408-A8EF-031DB150B652}" uniqueName="12" name="Maximo_PF" queryTableFieldId="12"/>
    <tableColumn id="13" xr3:uid="{A46C0140-6F99-4310-B8AB-05FE9F189CB6}" uniqueName="13" name="Maximo_PF_IA" queryTableFieldId="13"/>
    <tableColumn id="14" xr3:uid="{2B22A17F-403C-4F01-96C8-1BA6A88CE5AE}" uniqueName="14" name="Media_PF" queryTableFieldId="14"/>
    <tableColumn id="15" xr3:uid="{3AC3F118-C901-47C9-8DDC-648004905EED}" uniqueName="15" name="Media_PF_IA" queryTableFieldId="15"/>
    <tableColumn id="16" xr3:uid="{3845735C-F3C5-4C24-999D-D72DF69CA0DF}" uniqueName="16" name="Mediana_PF" queryTableFieldId="16"/>
    <tableColumn id="17" xr3:uid="{2EC9E06B-FE4E-41BF-BDF2-5CBEF4C9AE9E}" uniqueName="17" name="Mediana_PF_IA" queryTableFieldId="17"/>
    <tableColumn id="18" xr3:uid="{80E0AC2B-9E8E-442E-B80C-46F3D879B76B}" uniqueName="18" name="Desvio_PF" queryTableFieldId="18"/>
    <tableColumn id="19" xr3:uid="{4BB8E570-93EE-433F-ABAC-0939C4C01803}" uniqueName="19" name="Desvio_PF_IA" queryTableFieldId="19"/>
    <tableColumn id="20" xr3:uid="{161F87F9-524C-4D5D-B078-CFD3B5169DFC}" uniqueName="20" name="%Erro_Total" queryTableFieldId="20"/>
    <tableColumn id="21" xr3:uid="{2D6EDA22-084F-4A41-8C48-77197D6AC038}" uniqueName="21" name="Diferenca_Total" queryTableFieldId="21"/>
    <tableColumn id="22" xr3:uid="{C193DCB1-EB52-4969-ACFD-97A4BC652C58}" uniqueName="22" name="Justification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1.xml"/><Relationship Id="rId13" Type="http://schemas.openxmlformats.org/officeDocument/2006/relationships/pivotTable" Target="../pivotTables/pivotTable26.xml"/><Relationship Id="rId3" Type="http://schemas.openxmlformats.org/officeDocument/2006/relationships/pivotTable" Target="../pivotTables/pivotTable16.xml"/><Relationship Id="rId7" Type="http://schemas.openxmlformats.org/officeDocument/2006/relationships/pivotTable" Target="../pivotTables/pivotTable20.xml"/><Relationship Id="rId12" Type="http://schemas.openxmlformats.org/officeDocument/2006/relationships/pivotTable" Target="../pivotTables/pivotTable25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Relationship Id="rId6" Type="http://schemas.openxmlformats.org/officeDocument/2006/relationships/pivotTable" Target="../pivotTables/pivotTable19.xml"/><Relationship Id="rId11" Type="http://schemas.openxmlformats.org/officeDocument/2006/relationships/pivotTable" Target="../pivotTables/pivotTable24.xml"/><Relationship Id="rId5" Type="http://schemas.openxmlformats.org/officeDocument/2006/relationships/pivotTable" Target="../pivotTables/pivotTable18.xml"/><Relationship Id="rId10" Type="http://schemas.openxmlformats.org/officeDocument/2006/relationships/pivotTable" Target="../pivotTables/pivotTable23.xml"/><Relationship Id="rId4" Type="http://schemas.openxmlformats.org/officeDocument/2006/relationships/pivotTable" Target="../pivotTables/pivotTable17.xml"/><Relationship Id="rId9" Type="http://schemas.openxmlformats.org/officeDocument/2006/relationships/pivotTable" Target="../pivotTables/pivotTable22.xml"/><Relationship Id="rId14" Type="http://schemas.openxmlformats.org/officeDocument/2006/relationships/pivotTable" Target="../pivotTables/pivotTable27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C4718-0E62-4BE0-9D8C-24B7F9D53512}">
  <dimension ref="A1:V7"/>
  <sheetViews>
    <sheetView topLeftCell="S1" workbookViewId="0">
      <selection activeCell="AA13" sqref="AA13"/>
    </sheetView>
  </sheetViews>
  <sheetFormatPr defaultRowHeight="15" x14ac:dyDescent="0.25"/>
  <cols>
    <col min="1" max="1" width="11.85546875" bestFit="1" customWidth="1"/>
    <col min="2" max="2" width="5.42578125" bestFit="1" customWidth="1"/>
    <col min="3" max="3" width="8" bestFit="1" customWidth="1"/>
    <col min="4" max="4" width="29" bestFit="1" customWidth="1"/>
    <col min="5" max="5" width="81.140625" bestFit="1" customWidth="1"/>
    <col min="6" max="6" width="16.85546875" bestFit="1" customWidth="1"/>
    <col min="7" max="7" width="12" bestFit="1" customWidth="1"/>
    <col min="8" max="8" width="12.140625" bestFit="1" customWidth="1"/>
    <col min="9" max="9" width="40.5703125" bestFit="1" customWidth="1"/>
    <col min="10" max="10" width="13" bestFit="1" customWidth="1"/>
    <col min="11" max="11" width="15.7109375" bestFit="1" customWidth="1"/>
    <col min="12" max="12" width="13.28515625" bestFit="1" customWidth="1"/>
    <col min="13" max="13" width="16" bestFit="1" customWidth="1"/>
    <col min="14" max="14" width="11.7109375" bestFit="1" customWidth="1"/>
    <col min="15" max="15" width="14.28515625" bestFit="1" customWidth="1"/>
    <col min="16" max="16" width="13.85546875" bestFit="1" customWidth="1"/>
    <col min="17" max="17" width="16.5703125" bestFit="1" customWidth="1"/>
    <col min="18" max="18" width="12.5703125" bestFit="1" customWidth="1"/>
    <col min="19" max="19" width="15.140625" bestFit="1" customWidth="1"/>
    <col min="20" max="20" width="13.85546875" bestFit="1" customWidth="1"/>
    <col min="21" max="21" width="17.5703125" bestFit="1" customWidth="1"/>
    <col min="22" max="22" width="50.5703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76</v>
      </c>
    </row>
    <row r="2" spans="1:22" x14ac:dyDescent="0.25">
      <c r="A2" t="s">
        <v>21</v>
      </c>
      <c r="B2">
        <v>4.5999999999999996</v>
      </c>
      <c r="C2">
        <v>25</v>
      </c>
      <c r="D2" t="s">
        <v>22</v>
      </c>
      <c r="E2" t="s">
        <v>23</v>
      </c>
      <c r="F2" s="1">
        <v>46209</v>
      </c>
      <c r="G2">
        <v>443.47826086956525</v>
      </c>
      <c r="H2">
        <v>20.399999999999999</v>
      </c>
      <c r="I2" t="s">
        <v>41</v>
      </c>
      <c r="J2">
        <v>3.68</v>
      </c>
      <c r="K2">
        <v>4</v>
      </c>
      <c r="L2">
        <v>9.6</v>
      </c>
      <c r="M2">
        <v>46</v>
      </c>
      <c r="N2">
        <v>6.43</v>
      </c>
      <c r="O2">
        <v>23.166666666666668</v>
      </c>
      <c r="P2">
        <v>5.75</v>
      </c>
      <c r="Q2">
        <v>21.5</v>
      </c>
      <c r="R2">
        <v>2.5378337218974765</v>
      </c>
      <c r="S2">
        <v>15.535979745953156</v>
      </c>
      <c r="T2">
        <v>260.29030585795749</v>
      </c>
      <c r="U2">
        <v>100.42</v>
      </c>
      <c r="V2" t="s">
        <v>73</v>
      </c>
    </row>
    <row r="3" spans="1:22" x14ac:dyDescent="0.25">
      <c r="A3" t="s">
        <v>24</v>
      </c>
      <c r="B3">
        <v>4.5999999999999996</v>
      </c>
      <c r="C3">
        <v>35</v>
      </c>
      <c r="D3" t="s">
        <v>25</v>
      </c>
      <c r="E3" t="s">
        <v>26</v>
      </c>
      <c r="F3" s="1">
        <v>46209</v>
      </c>
      <c r="G3">
        <v>660.86956521739125</v>
      </c>
      <c r="H3">
        <v>30.4</v>
      </c>
      <c r="I3" t="s">
        <v>42</v>
      </c>
      <c r="J3">
        <v>3.68</v>
      </c>
      <c r="K3">
        <v>4</v>
      </c>
      <c r="L3">
        <v>9.6</v>
      </c>
      <c r="M3">
        <v>46</v>
      </c>
      <c r="N3">
        <v>6.43</v>
      </c>
      <c r="O3">
        <v>23.166666666666668</v>
      </c>
      <c r="P3">
        <v>5.75</v>
      </c>
      <c r="Q3">
        <v>21.5</v>
      </c>
      <c r="R3">
        <v>2.5378337218974765</v>
      </c>
      <c r="S3">
        <v>15.535979745953156</v>
      </c>
      <c r="T3">
        <v>260.29030585795749</v>
      </c>
      <c r="U3">
        <v>100.42</v>
      </c>
      <c r="V3" t="s">
        <v>74</v>
      </c>
    </row>
    <row r="4" spans="1:22" x14ac:dyDescent="0.25">
      <c r="A4" t="s">
        <v>27</v>
      </c>
      <c r="B4">
        <v>9.1999999999999993</v>
      </c>
      <c r="C4">
        <v>46</v>
      </c>
      <c r="D4" t="s">
        <v>28</v>
      </c>
      <c r="E4" t="s">
        <v>29</v>
      </c>
      <c r="F4" s="1">
        <v>46209</v>
      </c>
      <c r="G4">
        <v>400</v>
      </c>
      <c r="H4">
        <v>36.799999999999997</v>
      </c>
      <c r="I4" t="s">
        <v>43</v>
      </c>
      <c r="J4">
        <v>3.68</v>
      </c>
      <c r="K4">
        <v>4</v>
      </c>
      <c r="L4">
        <v>9.6</v>
      </c>
      <c r="M4">
        <v>46</v>
      </c>
      <c r="N4">
        <v>6.43</v>
      </c>
      <c r="O4">
        <v>23.166666666666668</v>
      </c>
      <c r="P4">
        <v>5.75</v>
      </c>
      <c r="Q4">
        <v>21.5</v>
      </c>
      <c r="R4">
        <v>2.5378337218974765</v>
      </c>
      <c r="S4">
        <v>15.535979745953156</v>
      </c>
      <c r="T4">
        <v>260.29030585795749</v>
      </c>
      <c r="U4">
        <v>100.42</v>
      </c>
      <c r="V4" t="s">
        <v>75</v>
      </c>
    </row>
    <row r="5" spans="1:22" x14ac:dyDescent="0.25">
      <c r="A5" t="s">
        <v>30</v>
      </c>
      <c r="B5">
        <v>3.68</v>
      </c>
      <c r="C5">
        <v>4</v>
      </c>
      <c r="D5" t="s">
        <v>31</v>
      </c>
      <c r="E5" t="s">
        <v>32</v>
      </c>
      <c r="F5" s="1">
        <v>46209</v>
      </c>
      <c r="G5">
        <v>8.6956521739130395</v>
      </c>
      <c r="H5">
        <v>0.31999999999999984</v>
      </c>
      <c r="I5" t="s">
        <v>44</v>
      </c>
      <c r="J5">
        <v>3.68</v>
      </c>
      <c r="K5">
        <v>4</v>
      </c>
      <c r="L5">
        <v>9.6</v>
      </c>
      <c r="M5">
        <v>46</v>
      </c>
      <c r="N5">
        <v>6.43</v>
      </c>
      <c r="O5">
        <v>23.166666666666668</v>
      </c>
      <c r="P5">
        <v>5.75</v>
      </c>
      <c r="Q5">
        <v>21.5</v>
      </c>
      <c r="R5">
        <v>2.5378337218974765</v>
      </c>
      <c r="S5">
        <v>15.535979745953156</v>
      </c>
      <c r="T5">
        <v>260.29030585795749</v>
      </c>
      <c r="U5">
        <v>100.42</v>
      </c>
      <c r="V5" t="s">
        <v>77</v>
      </c>
    </row>
    <row r="6" spans="1:22" x14ac:dyDescent="0.25">
      <c r="A6" t="s">
        <v>33</v>
      </c>
      <c r="B6">
        <v>6.9</v>
      </c>
      <c r="C6">
        <v>18</v>
      </c>
      <c r="D6" t="s">
        <v>34</v>
      </c>
      <c r="E6" t="s">
        <v>35</v>
      </c>
      <c r="F6" s="1">
        <v>46209</v>
      </c>
      <c r="G6">
        <v>160.86956521739128</v>
      </c>
      <c r="H6">
        <v>11.1</v>
      </c>
      <c r="I6" t="s">
        <v>45</v>
      </c>
      <c r="J6">
        <v>3.68</v>
      </c>
      <c r="K6">
        <v>4</v>
      </c>
      <c r="L6">
        <v>9.6</v>
      </c>
      <c r="M6">
        <v>46</v>
      </c>
      <c r="N6">
        <v>6.43</v>
      </c>
      <c r="O6">
        <v>23.166666666666668</v>
      </c>
      <c r="P6">
        <v>5.75</v>
      </c>
      <c r="Q6">
        <v>21.5</v>
      </c>
      <c r="R6">
        <v>2.5378337218974765</v>
      </c>
      <c r="S6">
        <v>15.535979745953156</v>
      </c>
      <c r="T6">
        <v>260.29030585795749</v>
      </c>
      <c r="U6">
        <v>100.42</v>
      </c>
      <c r="V6" t="s">
        <v>78</v>
      </c>
    </row>
    <row r="7" spans="1:22" x14ac:dyDescent="0.25">
      <c r="A7" t="s">
        <v>36</v>
      </c>
      <c r="B7">
        <v>9.6</v>
      </c>
      <c r="C7">
        <v>11</v>
      </c>
      <c r="D7" t="s">
        <v>37</v>
      </c>
      <c r="E7" t="s">
        <v>38</v>
      </c>
      <c r="F7" s="1">
        <v>46209</v>
      </c>
      <c r="G7">
        <v>14.583333333333337</v>
      </c>
      <c r="H7">
        <v>1.4000000000000004</v>
      </c>
      <c r="I7" t="s">
        <v>46</v>
      </c>
      <c r="J7">
        <v>3.68</v>
      </c>
      <c r="K7">
        <v>4</v>
      </c>
      <c r="L7">
        <v>9.6</v>
      </c>
      <c r="M7">
        <v>46</v>
      </c>
      <c r="N7">
        <v>6.43</v>
      </c>
      <c r="O7">
        <v>23.166666666666668</v>
      </c>
      <c r="P7">
        <v>5.75</v>
      </c>
      <c r="Q7">
        <v>21.5</v>
      </c>
      <c r="R7">
        <v>2.5378337218974765</v>
      </c>
      <c r="S7">
        <v>15.535979745953156</v>
      </c>
      <c r="T7">
        <v>260.29030585795749</v>
      </c>
      <c r="U7">
        <v>100.42</v>
      </c>
      <c r="V7" t="s">
        <v>79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CBEC2-3F37-476E-AD8B-0F74560BE2DE}">
  <dimension ref="A1:N16"/>
  <sheetViews>
    <sheetView topLeftCell="F1" workbookViewId="0">
      <selection activeCell="G4" sqref="G4"/>
    </sheetView>
  </sheetViews>
  <sheetFormatPr defaultRowHeight="15" x14ac:dyDescent="0.25"/>
  <cols>
    <col min="1" max="1" width="6.7109375" bestFit="1" customWidth="1"/>
    <col min="2" max="2" width="14.5703125" bestFit="1" customWidth="1"/>
    <col min="3" max="3" width="10.28515625" bestFit="1" customWidth="1"/>
    <col min="4" max="4" width="18.28515625" bestFit="1" customWidth="1"/>
    <col min="6" max="6" width="39.42578125" bestFit="1" customWidth="1"/>
    <col min="7" max="7" width="34.42578125" bestFit="1" customWidth="1"/>
    <col min="8" max="8" width="50.5703125" bestFit="1" customWidth="1"/>
    <col min="9" max="11" width="10.28515625" bestFit="1" customWidth="1"/>
    <col min="12" max="12" width="18.42578125" bestFit="1" customWidth="1"/>
    <col min="13" max="13" width="7.42578125" bestFit="1" customWidth="1"/>
    <col min="14" max="14" width="10.42578125" bestFit="1" customWidth="1"/>
  </cols>
  <sheetData>
    <row r="1" spans="1:14" x14ac:dyDescent="0.25">
      <c r="A1" t="s">
        <v>1</v>
      </c>
      <c r="C1" t="s">
        <v>52</v>
      </c>
      <c r="F1" s="2" t="s">
        <v>0</v>
      </c>
      <c r="G1" s="2" t="s">
        <v>76</v>
      </c>
      <c r="L1" s="2" t="s">
        <v>39</v>
      </c>
      <c r="M1" t="s">
        <v>49</v>
      </c>
      <c r="N1" t="s">
        <v>82</v>
      </c>
    </row>
    <row r="2" spans="1:14" x14ac:dyDescent="0.25">
      <c r="A2" t="s">
        <v>53</v>
      </c>
      <c r="C2" t="s">
        <v>57</v>
      </c>
      <c r="F2" t="s">
        <v>27</v>
      </c>
      <c r="G2" t="s">
        <v>75</v>
      </c>
      <c r="L2" s="3" t="s">
        <v>27</v>
      </c>
      <c r="M2" s="4">
        <v>9.1999999999999993</v>
      </c>
      <c r="N2" s="4">
        <v>46</v>
      </c>
    </row>
    <row r="3" spans="1:14" x14ac:dyDescent="0.25">
      <c r="A3" s="4">
        <v>38.58</v>
      </c>
      <c r="C3" s="4">
        <v>139</v>
      </c>
      <c r="L3" s="3" t="s">
        <v>40</v>
      </c>
      <c r="M3" s="4">
        <v>9.1999999999999993</v>
      </c>
      <c r="N3" s="4">
        <v>46</v>
      </c>
    </row>
    <row r="4" spans="1:14" x14ac:dyDescent="0.25">
      <c r="A4" s="4">
        <f>A3</f>
        <v>38.58</v>
      </c>
      <c r="C4" s="4">
        <f>C3</f>
        <v>139</v>
      </c>
    </row>
    <row r="5" spans="1:14" x14ac:dyDescent="0.25">
      <c r="A5" s="4" t="s">
        <v>56</v>
      </c>
      <c r="C5" s="4" t="s">
        <v>58</v>
      </c>
    </row>
    <row r="6" spans="1:14" x14ac:dyDescent="0.25">
      <c r="A6" s="4">
        <v>6.43</v>
      </c>
      <c r="C6" s="4">
        <v>23.166666666666668</v>
      </c>
    </row>
    <row r="7" spans="1:14" x14ac:dyDescent="0.25">
      <c r="A7" s="4">
        <f>A6</f>
        <v>6.43</v>
      </c>
      <c r="C7" s="4">
        <f>C6</f>
        <v>23.166666666666668</v>
      </c>
    </row>
    <row r="8" spans="1:14" x14ac:dyDescent="0.25">
      <c r="A8" s="4" t="s">
        <v>54</v>
      </c>
      <c r="C8" s="4" t="s">
        <v>59</v>
      </c>
    </row>
    <row r="9" spans="1:14" x14ac:dyDescent="0.25">
      <c r="A9" s="4">
        <v>3.68</v>
      </c>
      <c r="C9" s="4">
        <v>4</v>
      </c>
      <c r="F9" t="str">
        <f>IF(F2= 0,"",F2)</f>
        <v>AA3</v>
      </c>
      <c r="G9" t="str">
        <f>IF(G2= 0,"",G2)</f>
        <v>I measured only part of the functions.</v>
      </c>
      <c r="H9" t="str">
        <f>CONCATENATE(F9,IF(F9=""," ","-"),G9)</f>
        <v>AA3-I measured only part of the functions.</v>
      </c>
      <c r="M9" s="4"/>
      <c r="N9" s="4"/>
    </row>
    <row r="10" spans="1:14" x14ac:dyDescent="0.25">
      <c r="A10" s="4">
        <f>A9</f>
        <v>3.68</v>
      </c>
      <c r="C10" s="4">
        <f>C9</f>
        <v>4</v>
      </c>
      <c r="F10" t="str">
        <f t="shared" ref="F10:F14" si="0">IF(F3= 0,"",F3)</f>
        <v/>
      </c>
      <c r="G10" t="str">
        <f>IF(G3=0,"",G3)</f>
        <v/>
      </c>
      <c r="H10" t="str">
        <f>CONCATENATE(F10,IF(F10=""," ","-"),G10)</f>
        <v xml:space="preserve"> </v>
      </c>
    </row>
    <row r="11" spans="1:14" x14ac:dyDescent="0.25">
      <c r="A11" s="4" t="s">
        <v>55</v>
      </c>
      <c r="C11" s="4" t="s">
        <v>60</v>
      </c>
      <c r="F11" t="str">
        <f t="shared" si="0"/>
        <v/>
      </c>
      <c r="G11" t="str">
        <f t="shared" ref="G11:G14" si="1">IF(G4=0,"",G4)</f>
        <v/>
      </c>
      <c r="H11" t="str">
        <f t="shared" ref="H11:H14" si="2">CONCATENATE(F11,IF(F11=""," ","-"),G11)</f>
        <v xml:space="preserve"> </v>
      </c>
      <c r="L11" s="2" t="s">
        <v>39</v>
      </c>
      <c r="M11" t="s">
        <v>80</v>
      </c>
      <c r="N11" t="s">
        <v>81</v>
      </c>
    </row>
    <row r="12" spans="1:14" x14ac:dyDescent="0.25">
      <c r="A12" s="4">
        <v>9.6</v>
      </c>
      <c r="C12" s="4">
        <v>46</v>
      </c>
      <c r="F12" t="str">
        <f t="shared" si="0"/>
        <v/>
      </c>
      <c r="G12" t="str">
        <f t="shared" si="1"/>
        <v/>
      </c>
      <c r="H12" t="str">
        <f t="shared" si="2"/>
        <v xml:space="preserve"> </v>
      </c>
      <c r="L12" s="3" t="s">
        <v>27</v>
      </c>
      <c r="M12" s="4">
        <v>400</v>
      </c>
      <c r="N12" s="4">
        <v>36.799999999999997</v>
      </c>
    </row>
    <row r="13" spans="1:14" x14ac:dyDescent="0.25">
      <c r="A13" s="4">
        <f>A12</f>
        <v>9.6</v>
      </c>
      <c r="C13" s="4">
        <f>C12</f>
        <v>46</v>
      </c>
      <c r="F13" t="str">
        <f t="shared" si="0"/>
        <v/>
      </c>
      <c r="G13" t="str">
        <f t="shared" si="1"/>
        <v/>
      </c>
      <c r="H13" t="str">
        <f t="shared" si="2"/>
        <v xml:space="preserve"> </v>
      </c>
      <c r="L13" s="3" t="s">
        <v>40</v>
      </c>
      <c r="M13" s="4">
        <v>400</v>
      </c>
      <c r="N13" s="4">
        <v>36.799999999999997</v>
      </c>
    </row>
    <row r="14" spans="1:14" x14ac:dyDescent="0.25">
      <c r="A14" s="4" t="s">
        <v>50</v>
      </c>
      <c r="C14" s="4" t="s">
        <v>51</v>
      </c>
      <c r="F14" t="str">
        <f t="shared" si="0"/>
        <v/>
      </c>
      <c r="G14" t="str">
        <f t="shared" si="1"/>
        <v/>
      </c>
      <c r="H14" t="str">
        <f t="shared" si="2"/>
        <v xml:space="preserve"> </v>
      </c>
    </row>
    <row r="15" spans="1:14" x14ac:dyDescent="0.25">
      <c r="A15" s="4">
        <v>281.41606280193236</v>
      </c>
      <c r="C15" s="4">
        <v>100.41999999999999</v>
      </c>
    </row>
    <row r="16" spans="1:14" x14ac:dyDescent="0.25">
      <c r="A16" s="4">
        <f>A15</f>
        <v>281.41606280193236</v>
      </c>
      <c r="C16" s="4">
        <f>C15</f>
        <v>100.41999999999999</v>
      </c>
      <c r="H16" t="str">
        <f>CONCATENATE(H9,CHAR(10),H10,CHAR(10),H11,CHAR(10),H12,CHAR(10),H13,CHAR(10),H14)</f>
        <v xml:space="preserve">AA3-I measured only part of the functions.
 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59847-F9B1-46E5-93B0-C11E11B2791D}">
  <dimension ref="A1:N23"/>
  <sheetViews>
    <sheetView workbookViewId="0">
      <selection activeCell="F17" sqref="F17:F18"/>
    </sheetView>
  </sheetViews>
  <sheetFormatPr defaultRowHeight="15" x14ac:dyDescent="0.25"/>
  <cols>
    <col min="1" max="1" width="6.7109375" bestFit="1" customWidth="1"/>
    <col min="2" max="2" width="14.5703125" bestFit="1" customWidth="1"/>
    <col min="3" max="3" width="10.28515625" bestFit="1" customWidth="1"/>
    <col min="4" max="4" width="18.28515625" bestFit="1" customWidth="1"/>
    <col min="6" max="6" width="39.42578125" bestFit="1" customWidth="1"/>
    <col min="7" max="7" width="40.5703125" bestFit="1" customWidth="1"/>
    <col min="8" max="11" width="10.28515625" bestFit="1" customWidth="1"/>
    <col min="12" max="12" width="18.42578125" bestFit="1" customWidth="1"/>
    <col min="13" max="13" width="6.7109375" bestFit="1" customWidth="1"/>
    <col min="14" max="14" width="10.28515625" bestFit="1" customWidth="1"/>
  </cols>
  <sheetData>
    <row r="1" spans="1:14" x14ac:dyDescent="0.25">
      <c r="A1" t="s">
        <v>1</v>
      </c>
      <c r="C1" t="s">
        <v>52</v>
      </c>
      <c r="F1" s="2" t="s">
        <v>0</v>
      </c>
      <c r="G1" s="2" t="s">
        <v>8</v>
      </c>
      <c r="L1" s="2" t="s">
        <v>39</v>
      </c>
      <c r="M1" t="s">
        <v>47</v>
      </c>
      <c r="N1" t="s">
        <v>48</v>
      </c>
    </row>
    <row r="2" spans="1:14" x14ac:dyDescent="0.25">
      <c r="A2" t="s">
        <v>53</v>
      </c>
      <c r="C2" t="s">
        <v>57</v>
      </c>
      <c r="F2" t="s">
        <v>21</v>
      </c>
      <c r="G2" t="s">
        <v>41</v>
      </c>
      <c r="L2" s="3" t="s">
        <v>27</v>
      </c>
      <c r="M2" s="4">
        <v>9.1999999999999993</v>
      </c>
      <c r="N2" s="4">
        <v>46</v>
      </c>
    </row>
    <row r="3" spans="1:14" x14ac:dyDescent="0.25">
      <c r="A3" s="4">
        <v>38.58</v>
      </c>
      <c r="C3" s="4">
        <v>139</v>
      </c>
      <c r="F3" t="s">
        <v>24</v>
      </c>
      <c r="G3" t="s">
        <v>42</v>
      </c>
      <c r="L3" s="3" t="s">
        <v>24</v>
      </c>
      <c r="M3" s="4">
        <v>4.5999999999999996</v>
      </c>
      <c r="N3" s="4">
        <v>35</v>
      </c>
    </row>
    <row r="4" spans="1:14" x14ac:dyDescent="0.25">
      <c r="A4" s="4">
        <f>A3</f>
        <v>38.58</v>
      </c>
      <c r="C4" s="4">
        <f>C3</f>
        <v>139</v>
      </c>
      <c r="F4" t="s">
        <v>27</v>
      </c>
      <c r="G4" t="s">
        <v>43</v>
      </c>
      <c r="L4" s="3" t="s">
        <v>21</v>
      </c>
      <c r="M4" s="4">
        <v>4.5999999999999996</v>
      </c>
      <c r="N4" s="4">
        <v>25</v>
      </c>
    </row>
    <row r="5" spans="1:14" x14ac:dyDescent="0.25">
      <c r="A5" s="4" t="s">
        <v>56</v>
      </c>
      <c r="C5" s="4" t="s">
        <v>58</v>
      </c>
      <c r="F5" t="s">
        <v>30</v>
      </c>
      <c r="G5" t="s">
        <v>44</v>
      </c>
      <c r="L5" s="3" t="s">
        <v>33</v>
      </c>
      <c r="M5" s="4">
        <v>6.9</v>
      </c>
      <c r="N5" s="4">
        <v>18</v>
      </c>
    </row>
    <row r="6" spans="1:14" x14ac:dyDescent="0.25">
      <c r="A6" s="4">
        <v>6.43</v>
      </c>
      <c r="C6" s="4">
        <v>23.166666666666668</v>
      </c>
      <c r="F6" t="s">
        <v>33</v>
      </c>
      <c r="G6" t="s">
        <v>45</v>
      </c>
      <c r="L6" s="3" t="s">
        <v>36</v>
      </c>
      <c r="M6" s="4">
        <v>9.6</v>
      </c>
      <c r="N6" s="4">
        <v>11</v>
      </c>
    </row>
    <row r="7" spans="1:14" x14ac:dyDescent="0.25">
      <c r="A7" s="4">
        <f>A6</f>
        <v>6.43</v>
      </c>
      <c r="C7" s="4">
        <f>C6</f>
        <v>23.166666666666668</v>
      </c>
      <c r="F7" t="s">
        <v>36</v>
      </c>
      <c r="G7" t="s">
        <v>46</v>
      </c>
      <c r="L7" s="3" t="s">
        <v>30</v>
      </c>
      <c r="M7" s="4">
        <v>3.68</v>
      </c>
      <c r="N7" s="4">
        <v>4</v>
      </c>
    </row>
    <row r="8" spans="1:14" x14ac:dyDescent="0.25">
      <c r="A8" s="4" t="s">
        <v>54</v>
      </c>
      <c r="C8" s="4" t="s">
        <v>59</v>
      </c>
      <c r="L8" s="3" t="s">
        <v>40</v>
      </c>
      <c r="M8" s="4">
        <v>38.58</v>
      </c>
      <c r="N8" s="4">
        <v>139</v>
      </c>
    </row>
    <row r="9" spans="1:14" x14ac:dyDescent="0.25">
      <c r="A9" s="4">
        <v>3.68</v>
      </c>
      <c r="C9" s="4">
        <v>4</v>
      </c>
      <c r="F9" t="str">
        <f>IF(F2= 0,"",F2)</f>
        <v>AA1</v>
      </c>
      <c r="G9" t="str">
        <f>IF(G2= 0,"",G2)</f>
        <v>Erro: subestimei complexidade e itens.</v>
      </c>
      <c r="H9" t="str">
        <f>CONCATENATE(F9,IF(F9=""," ","-"),G9)</f>
        <v>AA1-Erro: subestimei complexidade e itens.</v>
      </c>
      <c r="M9" s="4"/>
      <c r="N9" s="4"/>
    </row>
    <row r="10" spans="1:14" x14ac:dyDescent="0.25">
      <c r="A10" s="4">
        <f>A9</f>
        <v>3.68</v>
      </c>
      <c r="C10" s="4">
        <f>C9</f>
        <v>4</v>
      </c>
      <c r="F10" t="str">
        <f t="shared" ref="F10:F14" si="0">IF(F3= 0,"",F3)</f>
        <v>AA2</v>
      </c>
      <c r="G10" t="str">
        <f>IF(G3=0,"",G3)</f>
        <v>Subestimei complexidade e ignorei funções.</v>
      </c>
      <c r="H10" t="str">
        <f>CONCATENATE(F10,IF(F10=""," ","-"),G10)</f>
        <v>AA2-Subestimei complexidade e ignorei funções.</v>
      </c>
    </row>
    <row r="11" spans="1:14" x14ac:dyDescent="0.25">
      <c r="A11" s="4" t="s">
        <v>55</v>
      </c>
      <c r="C11" s="4" t="s">
        <v>60</v>
      </c>
      <c r="F11" t="str">
        <f t="shared" si="0"/>
        <v>AA3</v>
      </c>
      <c r="G11" t="str">
        <f t="shared" ref="G11:G14" si="1">IF(G4=0,"",G4)</f>
        <v>Contei apenas parte das funções.</v>
      </c>
      <c r="H11" t="str">
        <f t="shared" ref="H11:H14" si="2">CONCATENATE(F11,IF(F11=""," ","-"),G11)</f>
        <v>AA3-Contei apenas parte das funções.</v>
      </c>
      <c r="L11" s="2" t="s">
        <v>39</v>
      </c>
      <c r="M11" t="s">
        <v>50</v>
      </c>
      <c r="N11" t="s">
        <v>51</v>
      </c>
    </row>
    <row r="12" spans="1:14" x14ac:dyDescent="0.25">
      <c r="A12" s="4">
        <v>9.6</v>
      </c>
      <c r="C12" s="4">
        <v>46</v>
      </c>
      <c r="F12" t="str">
        <f t="shared" si="0"/>
        <v>AA4</v>
      </c>
      <c r="G12" t="str">
        <f t="shared" si="1"/>
        <v>Esqueci de arredondar o resultado.</v>
      </c>
      <c r="H12" t="str">
        <f t="shared" si="2"/>
        <v>AA4-Esqueci de arredondar o resultado.</v>
      </c>
      <c r="L12" s="3" t="s">
        <v>21</v>
      </c>
      <c r="M12" s="4">
        <v>443.47826086956525</v>
      </c>
      <c r="N12" s="4">
        <v>20.399999999999999</v>
      </c>
    </row>
    <row r="13" spans="1:14" x14ac:dyDescent="0.25">
      <c r="A13" s="4">
        <f>A12</f>
        <v>9.6</v>
      </c>
      <c r="C13" s="4">
        <f>C12</f>
        <v>46</v>
      </c>
      <c r="F13" t="str">
        <f t="shared" si="0"/>
        <v>AA5</v>
      </c>
      <c r="G13" t="str">
        <f t="shared" si="1"/>
        <v>Não somei todos os pontos de função.</v>
      </c>
      <c r="H13" t="str">
        <f t="shared" si="2"/>
        <v>AA5-Não somei todos os pontos de função.</v>
      </c>
      <c r="L13" s="3" t="s">
        <v>24</v>
      </c>
      <c r="M13" s="4">
        <v>660.86956521739125</v>
      </c>
      <c r="N13" s="4">
        <v>30.4</v>
      </c>
    </row>
    <row r="14" spans="1:14" x14ac:dyDescent="0.25">
      <c r="A14" s="4" t="s">
        <v>50</v>
      </c>
      <c r="C14" s="4" t="s">
        <v>51</v>
      </c>
      <c r="F14" t="str">
        <f t="shared" si="0"/>
        <v>AA6</v>
      </c>
      <c r="G14" t="str">
        <f t="shared" si="1"/>
        <v>Subestimei a complexidade.</v>
      </c>
      <c r="H14" t="str">
        <f t="shared" si="2"/>
        <v>AA6-Subestimei a complexidade.</v>
      </c>
      <c r="L14" s="3" t="s">
        <v>27</v>
      </c>
      <c r="M14" s="4">
        <v>400</v>
      </c>
      <c r="N14" s="4">
        <v>36.799999999999997</v>
      </c>
    </row>
    <row r="15" spans="1:14" x14ac:dyDescent="0.25">
      <c r="A15" s="4">
        <v>281.41606280193236</v>
      </c>
      <c r="C15" s="4">
        <v>100.41999999999999</v>
      </c>
      <c r="L15" s="3" t="s">
        <v>30</v>
      </c>
      <c r="M15" s="4">
        <v>8.6956521739130395</v>
      </c>
      <c r="N15" s="4">
        <v>0.31999999999999984</v>
      </c>
    </row>
    <row r="16" spans="1:14" x14ac:dyDescent="0.25">
      <c r="A16" s="4">
        <f>A15</f>
        <v>281.41606280193236</v>
      </c>
      <c r="C16" s="4">
        <f>C15</f>
        <v>100.41999999999999</v>
      </c>
      <c r="H16" t="str">
        <f>CONCATENATE(H9,CHAR(10),H10,CHAR(10),H11,CHAR(10),H12,CHAR(10),H13,CHAR(10),H14)</f>
        <v>AA1-Erro: subestimei complexidade e itens.
AA2-Subestimei complexidade e ignorei funções.
AA3-Contei apenas parte das funções.
AA4-Esqueci de arredondar o resultado.
AA5-Não somei todos os pontos de função.
AA6-Subestimei a complexidade.</v>
      </c>
      <c r="L16" s="3" t="s">
        <v>33</v>
      </c>
      <c r="M16" s="4">
        <v>160.86956521739128</v>
      </c>
      <c r="N16" s="4">
        <v>11.1</v>
      </c>
    </row>
    <row r="17" spans="6:14" x14ac:dyDescent="0.25">
      <c r="F17" s="2" t="s">
        <v>0</v>
      </c>
      <c r="G17" s="2" t="s">
        <v>8</v>
      </c>
      <c r="L17" s="3" t="s">
        <v>36</v>
      </c>
      <c r="M17" s="4">
        <v>14.583333333333337</v>
      </c>
      <c r="N17" s="4">
        <v>1.4000000000000004</v>
      </c>
    </row>
    <row r="18" spans="6:14" x14ac:dyDescent="0.25">
      <c r="F18" t="s">
        <v>21</v>
      </c>
      <c r="G18" t="s">
        <v>41</v>
      </c>
      <c r="L18" s="3" t="s">
        <v>40</v>
      </c>
      <c r="M18" s="4">
        <v>281.41606280193236</v>
      </c>
      <c r="N18" s="4">
        <v>100.41999999999999</v>
      </c>
    </row>
    <row r="19" spans="6:14" x14ac:dyDescent="0.25">
      <c r="F19" t="s">
        <v>24</v>
      </c>
      <c r="G19" t="s">
        <v>42</v>
      </c>
    </row>
    <row r="20" spans="6:14" x14ac:dyDescent="0.25">
      <c r="F20" t="s">
        <v>27</v>
      </c>
      <c r="G20" t="s">
        <v>43</v>
      </c>
    </row>
    <row r="21" spans="6:14" x14ac:dyDescent="0.25">
      <c r="F21" t="s">
        <v>30</v>
      </c>
      <c r="G21" t="s">
        <v>44</v>
      </c>
    </row>
    <row r="22" spans="6:14" x14ac:dyDescent="0.25">
      <c r="F22" t="s">
        <v>33</v>
      </c>
      <c r="G22" t="s">
        <v>45</v>
      </c>
    </row>
    <row r="23" spans="6:14" x14ac:dyDescent="0.25">
      <c r="F23" t="s">
        <v>36</v>
      </c>
      <c r="G23" t="s">
        <v>46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3688-FB05-4392-B024-AF96C4C4F9FD}">
  <dimension ref="A1:O26"/>
  <sheetViews>
    <sheetView showGridLines="0" showRowColHeaders="0" workbookViewId="0">
      <selection activeCell="B3" sqref="B3:XFD4"/>
    </sheetView>
  </sheetViews>
  <sheetFormatPr defaultColWidth="0" defaultRowHeight="15" customHeight="1" zeroHeight="1" x14ac:dyDescent="0.25"/>
  <cols>
    <col min="1" max="1" width="25.42578125" customWidth="1"/>
    <col min="2" max="6" width="12.7109375" style="7" customWidth="1"/>
    <col min="7" max="11" width="12.7109375" customWidth="1"/>
    <col min="12" max="15" width="0" hidden="1" customWidth="1"/>
    <col min="16" max="16384" width="9.140625" hidden="1"/>
  </cols>
  <sheetData>
    <row r="1" spans="1:11" ht="38.25" customHeight="1" x14ac:dyDescent="0.25">
      <c r="A1" s="14" t="s">
        <v>62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33" customHeight="1" x14ac:dyDescent="0.25">
      <c r="A2" s="5"/>
      <c r="B2" s="6" t="s">
        <v>72</v>
      </c>
      <c r="C2" s="6" t="s">
        <v>71</v>
      </c>
      <c r="D2" s="6" t="s">
        <v>70</v>
      </c>
      <c r="E2" s="6" t="s">
        <v>69</v>
      </c>
      <c r="F2" s="8" t="s">
        <v>67</v>
      </c>
      <c r="G2" s="9" t="s">
        <v>68</v>
      </c>
      <c r="H2" s="6" t="s">
        <v>63</v>
      </c>
      <c r="I2" s="6" t="s">
        <v>64</v>
      </c>
      <c r="J2" s="6" t="s">
        <v>65</v>
      </c>
      <c r="K2" s="6" t="s">
        <v>66</v>
      </c>
    </row>
    <row r="3" spans="1:11" x14ac:dyDescent="0.25">
      <c r="A3" s="5"/>
      <c r="B3" s="13">
        <f>'Tabelas-English'!A4</f>
        <v>38.58</v>
      </c>
      <c r="C3" s="13">
        <f>'Tabelas-English'!A7</f>
        <v>6.43</v>
      </c>
      <c r="D3" s="13">
        <f>'Tabelas-English'!A10</f>
        <v>3.68</v>
      </c>
      <c r="E3" s="13">
        <f>'Tabelas-English'!A13</f>
        <v>9.6</v>
      </c>
      <c r="F3" s="13">
        <f>'Tabelas-English'!A16</f>
        <v>281.41606280193236</v>
      </c>
      <c r="G3" s="13">
        <f>'Tabelas-English'!C16</f>
        <v>100.41999999999999</v>
      </c>
      <c r="H3" s="13">
        <f>'Tabelas-English'!C4</f>
        <v>139</v>
      </c>
      <c r="I3" s="13">
        <f>'Tabelas-English'!C7</f>
        <v>23.166666666666668</v>
      </c>
      <c r="J3" s="13">
        <f>'Tabelas-English'!C10</f>
        <v>4</v>
      </c>
      <c r="K3" s="13">
        <f>'Tabelas-English'!C13</f>
        <v>46</v>
      </c>
    </row>
    <row r="4" spans="1:11" x14ac:dyDescent="0.25">
      <c r="A4" s="5"/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 ht="2.25" customHeight="1" x14ac:dyDescent="0.25">
      <c r="A5" s="5"/>
      <c r="B5" s="10"/>
      <c r="C5" s="10"/>
      <c r="D5" s="10"/>
      <c r="E5" s="10"/>
      <c r="F5" s="10"/>
      <c r="G5" s="5"/>
      <c r="H5" s="5"/>
      <c r="I5" s="5"/>
      <c r="J5" s="5"/>
      <c r="K5" s="5"/>
    </row>
    <row r="6" spans="1:11" x14ac:dyDescent="0.25">
      <c r="A6" s="5"/>
      <c r="B6" s="11"/>
      <c r="C6" s="11"/>
      <c r="D6" s="11"/>
      <c r="E6" s="11"/>
      <c r="F6" s="11"/>
      <c r="G6" s="12"/>
      <c r="H6" s="12"/>
      <c r="I6" s="12"/>
      <c r="J6" s="12"/>
      <c r="K6" s="12"/>
    </row>
    <row r="7" spans="1:11" x14ac:dyDescent="0.25">
      <c r="A7" s="5"/>
      <c r="B7" s="11"/>
      <c r="C7" s="11"/>
      <c r="D7" s="11"/>
      <c r="E7" s="11"/>
      <c r="F7" s="11"/>
      <c r="G7" s="12"/>
      <c r="H7" s="12"/>
      <c r="I7" s="12"/>
      <c r="J7" s="12"/>
      <c r="K7" s="12"/>
    </row>
    <row r="8" spans="1:11" x14ac:dyDescent="0.25">
      <c r="A8" s="5"/>
      <c r="B8" s="11"/>
      <c r="C8" s="11"/>
      <c r="D8" s="11"/>
      <c r="E8" s="11"/>
      <c r="F8" s="11"/>
      <c r="G8" s="12"/>
      <c r="H8" s="12"/>
      <c r="I8" s="12"/>
      <c r="J8" s="12"/>
      <c r="K8" s="12"/>
    </row>
    <row r="9" spans="1:11" x14ac:dyDescent="0.25">
      <c r="A9" s="5"/>
      <c r="B9" s="11"/>
      <c r="C9" s="11"/>
      <c r="D9" s="11"/>
      <c r="E9" s="11"/>
      <c r="F9" s="11"/>
      <c r="G9" s="12"/>
      <c r="H9" s="12"/>
      <c r="I9" s="12"/>
      <c r="J9" s="12"/>
      <c r="K9" s="12"/>
    </row>
    <row r="10" spans="1:11" x14ac:dyDescent="0.25">
      <c r="A10" s="5"/>
      <c r="B10" s="11"/>
      <c r="C10" s="11"/>
      <c r="D10" s="11"/>
      <c r="E10" s="11"/>
      <c r="F10" s="11"/>
      <c r="G10" s="12"/>
      <c r="H10" s="12"/>
      <c r="I10" s="12"/>
      <c r="J10" s="12"/>
      <c r="K10" s="12"/>
    </row>
    <row r="11" spans="1:11" x14ac:dyDescent="0.25">
      <c r="A11" s="5"/>
      <c r="B11" s="11"/>
      <c r="C11" s="11"/>
      <c r="D11" s="11"/>
      <c r="E11" s="11"/>
      <c r="F11" s="11"/>
      <c r="G11" s="12"/>
      <c r="H11" s="12"/>
      <c r="I11" s="12"/>
      <c r="J11" s="12"/>
      <c r="K11" s="12"/>
    </row>
    <row r="12" spans="1:11" x14ac:dyDescent="0.25">
      <c r="A12" s="5"/>
      <c r="B12" s="11"/>
      <c r="C12" s="11"/>
      <c r="D12" s="11"/>
      <c r="E12" s="11"/>
      <c r="F12" s="11"/>
      <c r="G12" s="12"/>
      <c r="H12" s="12"/>
      <c r="I12" s="12"/>
      <c r="J12" s="12"/>
      <c r="K12" s="12"/>
    </row>
    <row r="13" spans="1:11" x14ac:dyDescent="0.25">
      <c r="A13" s="5"/>
      <c r="B13" s="11"/>
      <c r="C13" s="11"/>
      <c r="D13" s="11"/>
      <c r="E13" s="11"/>
      <c r="F13" s="11"/>
      <c r="G13" s="12"/>
      <c r="H13" s="12"/>
      <c r="I13" s="12"/>
      <c r="J13" s="12"/>
      <c r="K13" s="12"/>
    </row>
    <row r="14" spans="1:11" x14ac:dyDescent="0.25">
      <c r="A14" s="5"/>
      <c r="B14" s="11"/>
      <c r="C14" s="11"/>
      <c r="D14" s="11"/>
      <c r="E14" s="11"/>
      <c r="F14" s="11"/>
      <c r="G14" s="12"/>
      <c r="H14" s="12"/>
      <c r="I14" s="12"/>
      <c r="J14" s="12"/>
      <c r="K14" s="12"/>
    </row>
    <row r="15" spans="1:11" x14ac:dyDescent="0.25">
      <c r="A15" s="5"/>
      <c r="B15" s="11"/>
      <c r="C15" s="11"/>
      <c r="D15" s="11"/>
      <c r="E15" s="11"/>
      <c r="F15" s="11"/>
      <c r="G15" s="12"/>
      <c r="H15" s="12"/>
      <c r="I15" s="12"/>
      <c r="J15" s="12"/>
      <c r="K15" s="12"/>
    </row>
    <row r="16" spans="1:11" x14ac:dyDescent="0.25">
      <c r="A16" s="5"/>
      <c r="B16" s="11"/>
      <c r="C16" s="11"/>
      <c r="D16" s="11"/>
      <c r="E16" s="11"/>
      <c r="F16" s="11"/>
      <c r="G16" s="12"/>
      <c r="H16" s="12"/>
      <c r="I16" s="12"/>
      <c r="J16" s="12"/>
      <c r="K16" s="12"/>
    </row>
    <row r="17" spans="1:11" x14ac:dyDescent="0.25">
      <c r="A17" s="5"/>
      <c r="B17" s="11"/>
      <c r="C17" s="12"/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5"/>
      <c r="B18" s="11"/>
      <c r="C18" s="12"/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5"/>
      <c r="B19" s="11"/>
      <c r="C19" s="12"/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5"/>
      <c r="B20" s="11"/>
      <c r="C20" s="12"/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5"/>
      <c r="B21" s="11"/>
      <c r="C21" s="12"/>
      <c r="D21" s="12"/>
      <c r="E21" s="12"/>
      <c r="F21" s="12"/>
      <c r="G21" s="12"/>
      <c r="H21" s="12"/>
      <c r="I21" s="12"/>
      <c r="J21" s="12"/>
      <c r="K21" s="12"/>
    </row>
    <row r="22" spans="1:11" x14ac:dyDescent="0.25">
      <c r="A22" s="5"/>
      <c r="B22" s="11"/>
      <c r="C22" s="12"/>
      <c r="D22" s="12"/>
      <c r="E22" s="12"/>
      <c r="F22" s="12"/>
      <c r="G22" s="12"/>
      <c r="H22" s="12"/>
      <c r="I22" s="12"/>
      <c r="J22" s="12"/>
      <c r="K22" s="12"/>
    </row>
    <row r="23" spans="1:11" x14ac:dyDescent="0.25">
      <c r="A23" s="5"/>
      <c r="B23" s="11"/>
      <c r="C23" s="12"/>
      <c r="D23" s="12"/>
      <c r="E23" s="12"/>
      <c r="F23" s="12"/>
      <c r="G23" s="12"/>
      <c r="H23" s="12"/>
      <c r="I23" s="12"/>
      <c r="J23" s="12"/>
      <c r="K23" s="12"/>
    </row>
    <row r="24" spans="1:11" x14ac:dyDescent="0.25">
      <c r="A24" s="5"/>
      <c r="B24" s="11"/>
      <c r="C24" s="12"/>
      <c r="D24" s="12"/>
      <c r="E24" s="12"/>
      <c r="F24" s="12"/>
      <c r="G24" s="12"/>
      <c r="H24" s="12"/>
      <c r="I24" s="12"/>
      <c r="J24" s="12"/>
      <c r="K24" s="12"/>
    </row>
    <row r="25" spans="1:11" x14ac:dyDescent="0.25">
      <c r="A25" s="5"/>
      <c r="B25" s="11"/>
      <c r="C25" s="12"/>
      <c r="D25" s="12"/>
      <c r="E25" s="12"/>
      <c r="F25" s="12"/>
      <c r="G25" s="12"/>
      <c r="H25" s="12"/>
      <c r="I25" s="12"/>
      <c r="J25" s="12"/>
      <c r="K25" s="12"/>
    </row>
    <row r="26" spans="1:11" x14ac:dyDescent="0.25">
      <c r="A26" s="5"/>
      <c r="B26" s="11"/>
      <c r="C26" s="12"/>
      <c r="D26" s="12"/>
      <c r="E26" s="12"/>
      <c r="F26" s="12"/>
      <c r="G26" s="12"/>
      <c r="H26" s="12"/>
      <c r="I26" s="12"/>
      <c r="J26" s="12"/>
      <c r="K26" s="12"/>
    </row>
  </sheetData>
  <sheetProtection selectLockedCells="1"/>
  <mergeCells count="11">
    <mergeCell ref="K3:K4"/>
    <mergeCell ref="A1:K1"/>
    <mergeCell ref="B3:B4"/>
    <mergeCell ref="C3:C4"/>
    <mergeCell ref="D3:D4"/>
    <mergeCell ref="E3:E4"/>
    <mergeCell ref="F3:F4"/>
    <mergeCell ref="G3:G4"/>
    <mergeCell ref="H3:H4"/>
    <mergeCell ref="I3:I4"/>
    <mergeCell ref="J3:J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BDF77-40A1-48EE-A76A-76A510521884}">
  <dimension ref="A1:O26"/>
  <sheetViews>
    <sheetView showGridLines="0" showRowColHeaders="0" tabSelected="1" workbookViewId="0">
      <selection activeCell="A2" sqref="A2"/>
    </sheetView>
  </sheetViews>
  <sheetFormatPr defaultColWidth="0" defaultRowHeight="15" zeroHeight="1" x14ac:dyDescent="0.25"/>
  <cols>
    <col min="1" max="1" width="25.42578125" customWidth="1"/>
    <col min="2" max="6" width="12.7109375" style="7" customWidth="1"/>
    <col min="7" max="11" width="12.7109375" customWidth="1"/>
    <col min="12" max="15" width="0" hidden="1" customWidth="1"/>
    <col min="16" max="16384" width="9.140625" hidden="1"/>
  </cols>
  <sheetData>
    <row r="1" spans="1:11" ht="38.25" customHeight="1" x14ac:dyDescent="0.25">
      <c r="A1" s="14" t="s">
        <v>61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33" customHeight="1" x14ac:dyDescent="0.25">
      <c r="A2" s="5"/>
      <c r="B2" s="6" t="str">
        <f>Tabelas!A2</f>
        <v>Soma PF</v>
      </c>
      <c r="C2" s="6" t="str">
        <f>Tabelas!A5</f>
        <v>Média PF</v>
      </c>
      <c r="D2" s="6" t="str">
        <f>Tabelas!A8</f>
        <v>Mín. PF</v>
      </c>
      <c r="E2" s="6" t="str">
        <f>Tabelas!A11</f>
        <v>Máx. PF</v>
      </c>
      <c r="F2" s="8" t="str">
        <f>Tabelas!A14</f>
        <v xml:space="preserve"> %Erro</v>
      </c>
      <c r="G2" s="9" t="str">
        <f>Tabelas!C14</f>
        <v xml:space="preserve"> Diferença</v>
      </c>
      <c r="H2" s="6" t="str">
        <f>Tabelas!C2</f>
        <v>Soma PF IA</v>
      </c>
      <c r="I2" s="6" t="str">
        <f>Tabelas!C5</f>
        <v>Média PF IA</v>
      </c>
      <c r="J2" s="6" t="str">
        <f>Tabelas!C8</f>
        <v>Mín. PF IA</v>
      </c>
      <c r="K2" s="6" t="str">
        <f>Tabelas!C11</f>
        <v>Máx. PF IA</v>
      </c>
    </row>
    <row r="3" spans="1:11" x14ac:dyDescent="0.25">
      <c r="A3" s="5"/>
      <c r="B3" s="13">
        <f>Tabelas!A4</f>
        <v>38.58</v>
      </c>
      <c r="C3" s="13">
        <f>Tabelas!A7</f>
        <v>6.43</v>
      </c>
      <c r="D3" s="13">
        <f>Tabelas!A10</f>
        <v>3.68</v>
      </c>
      <c r="E3" s="13">
        <f>Tabelas!A13</f>
        <v>9.6</v>
      </c>
      <c r="F3" s="13">
        <f>Tabelas!A16</f>
        <v>281.41606280193236</v>
      </c>
      <c r="G3" s="13">
        <f>Tabelas!C16</f>
        <v>100.41999999999999</v>
      </c>
      <c r="H3" s="13">
        <f>Tabelas!C4</f>
        <v>139</v>
      </c>
      <c r="I3" s="13">
        <f>Tabelas!C7</f>
        <v>23.166666666666668</v>
      </c>
      <c r="J3" s="13">
        <f>Tabelas!C10</f>
        <v>4</v>
      </c>
      <c r="K3" s="13">
        <f>Tabelas!C13</f>
        <v>46</v>
      </c>
    </row>
    <row r="4" spans="1:11" x14ac:dyDescent="0.25">
      <c r="A4" s="5"/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 ht="2.25" customHeight="1" x14ac:dyDescent="0.25">
      <c r="A5" s="5"/>
      <c r="B5" s="10"/>
      <c r="C5" s="10"/>
      <c r="D5" s="10"/>
      <c r="E5" s="10"/>
      <c r="F5" s="10"/>
      <c r="G5" s="5"/>
      <c r="H5" s="5"/>
      <c r="I5" s="5"/>
      <c r="J5" s="5"/>
      <c r="K5" s="5"/>
    </row>
    <row r="6" spans="1:11" x14ac:dyDescent="0.25">
      <c r="A6" s="5"/>
      <c r="B6" s="11"/>
      <c r="C6" s="11"/>
      <c r="D6" s="11"/>
      <c r="E6" s="11"/>
      <c r="F6" s="11"/>
      <c r="G6" s="12"/>
      <c r="H6" s="12"/>
      <c r="I6" s="12"/>
      <c r="J6" s="12"/>
      <c r="K6" s="12"/>
    </row>
    <row r="7" spans="1:11" x14ac:dyDescent="0.25">
      <c r="A7" s="5"/>
      <c r="B7" s="11"/>
      <c r="C7" s="11"/>
      <c r="D7" s="11"/>
      <c r="E7" s="11"/>
      <c r="F7" s="11"/>
      <c r="G7" s="12"/>
      <c r="H7" s="12"/>
      <c r="I7" s="12"/>
      <c r="J7" s="12"/>
      <c r="K7" s="12"/>
    </row>
    <row r="8" spans="1:11" x14ac:dyDescent="0.25">
      <c r="A8" s="5"/>
      <c r="B8" s="11"/>
      <c r="C8" s="11"/>
      <c r="D8" s="11"/>
      <c r="E8" s="11"/>
      <c r="F8" s="11"/>
      <c r="G8" s="12"/>
      <c r="H8" s="12"/>
      <c r="I8" s="12"/>
      <c r="J8" s="12"/>
      <c r="K8" s="12"/>
    </row>
    <row r="9" spans="1:11" x14ac:dyDescent="0.25">
      <c r="A9" s="5"/>
      <c r="B9" s="11"/>
      <c r="C9" s="11"/>
      <c r="D9" s="11"/>
      <c r="E9" s="11"/>
      <c r="F9" s="11"/>
      <c r="G9" s="12"/>
      <c r="H9" s="12"/>
      <c r="I9" s="12"/>
      <c r="J9" s="12"/>
      <c r="K9" s="12"/>
    </row>
    <row r="10" spans="1:11" x14ac:dyDescent="0.25">
      <c r="A10" s="5"/>
      <c r="B10" s="11"/>
      <c r="C10" s="11"/>
      <c r="D10" s="11"/>
      <c r="E10" s="11"/>
      <c r="F10" s="11"/>
      <c r="G10" s="12"/>
      <c r="H10" s="12"/>
      <c r="I10" s="12"/>
      <c r="J10" s="12"/>
      <c r="K10" s="12"/>
    </row>
    <row r="11" spans="1:11" x14ac:dyDescent="0.25">
      <c r="A11" s="5"/>
      <c r="B11" s="11"/>
      <c r="C11" s="11"/>
      <c r="D11" s="11"/>
      <c r="E11" s="11"/>
      <c r="F11" s="11"/>
      <c r="G11" s="12"/>
      <c r="H11" s="12"/>
      <c r="I11" s="12"/>
      <c r="J11" s="12"/>
      <c r="K11" s="12"/>
    </row>
    <row r="12" spans="1:11" x14ac:dyDescent="0.25">
      <c r="A12" s="5"/>
      <c r="B12" s="11"/>
      <c r="C12" s="11"/>
      <c r="D12" s="11"/>
      <c r="E12" s="11"/>
      <c r="F12" s="11"/>
      <c r="G12" s="12"/>
      <c r="H12" s="12"/>
      <c r="I12" s="12"/>
      <c r="J12" s="12"/>
      <c r="K12" s="12"/>
    </row>
    <row r="13" spans="1:11" x14ac:dyDescent="0.25">
      <c r="A13" s="5"/>
      <c r="B13" s="11"/>
      <c r="C13" s="11"/>
      <c r="D13" s="11"/>
      <c r="E13" s="11"/>
      <c r="F13" s="11"/>
      <c r="G13" s="12"/>
      <c r="H13" s="12"/>
      <c r="I13" s="12"/>
      <c r="J13" s="12"/>
      <c r="K13" s="12"/>
    </row>
    <row r="14" spans="1:11" x14ac:dyDescent="0.25">
      <c r="A14" s="5"/>
      <c r="B14" s="11"/>
      <c r="C14" s="11"/>
      <c r="D14" s="11"/>
      <c r="E14" s="11"/>
      <c r="F14" s="11"/>
      <c r="G14" s="12"/>
      <c r="H14" s="12"/>
      <c r="I14" s="12"/>
      <c r="J14" s="12"/>
      <c r="K14" s="12"/>
    </row>
    <row r="15" spans="1:11" x14ac:dyDescent="0.25">
      <c r="A15" s="5"/>
      <c r="B15" s="11"/>
      <c r="C15" s="11"/>
      <c r="D15" s="11"/>
      <c r="E15" s="11"/>
      <c r="F15" s="11"/>
      <c r="G15" s="12"/>
      <c r="H15" s="12"/>
      <c r="I15" s="12"/>
      <c r="J15" s="12"/>
      <c r="K15" s="12"/>
    </row>
    <row r="16" spans="1:11" x14ac:dyDescent="0.25">
      <c r="A16" s="5"/>
      <c r="B16" s="11"/>
      <c r="C16" s="11"/>
      <c r="D16" s="11"/>
      <c r="E16" s="11"/>
      <c r="F16" s="11"/>
      <c r="G16" s="12"/>
      <c r="H16" s="12"/>
      <c r="I16" s="12"/>
      <c r="J16" s="12"/>
      <c r="K16" s="12"/>
    </row>
    <row r="17" spans="1:11" x14ac:dyDescent="0.25">
      <c r="A17" s="5"/>
      <c r="B17" s="11"/>
      <c r="C17" s="12"/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5"/>
      <c r="B18" s="11"/>
      <c r="C18" s="12"/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5"/>
      <c r="B19" s="11"/>
      <c r="C19" s="12"/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5"/>
      <c r="B20" s="11"/>
      <c r="C20" s="12"/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5"/>
      <c r="B21" s="11"/>
      <c r="C21" s="12"/>
      <c r="D21" s="12"/>
      <c r="E21" s="12"/>
      <c r="F21" s="12"/>
      <c r="G21" s="12"/>
      <c r="H21" s="12"/>
      <c r="I21" s="12"/>
      <c r="J21" s="12"/>
      <c r="K21" s="12"/>
    </row>
    <row r="22" spans="1:11" x14ac:dyDescent="0.25">
      <c r="A22" s="5"/>
      <c r="B22" s="11"/>
      <c r="C22" s="12"/>
      <c r="D22" s="12"/>
      <c r="E22" s="12"/>
      <c r="F22" s="12"/>
      <c r="G22" s="12"/>
      <c r="H22" s="12"/>
      <c r="I22" s="12"/>
      <c r="J22" s="12"/>
      <c r="K22" s="12"/>
    </row>
    <row r="23" spans="1:11" x14ac:dyDescent="0.25">
      <c r="A23" s="5"/>
      <c r="B23" s="11"/>
      <c r="C23" s="12"/>
      <c r="D23" s="12"/>
      <c r="E23" s="12"/>
      <c r="F23" s="12"/>
      <c r="G23" s="12"/>
      <c r="H23" s="12"/>
      <c r="I23" s="12"/>
      <c r="J23" s="12"/>
      <c r="K23" s="12"/>
    </row>
    <row r="24" spans="1:11" x14ac:dyDescent="0.25">
      <c r="A24" s="5"/>
      <c r="B24" s="11"/>
      <c r="C24" s="12"/>
      <c r="D24" s="12"/>
      <c r="E24" s="12"/>
      <c r="F24" s="12"/>
      <c r="G24" s="12"/>
      <c r="H24" s="12"/>
      <c r="I24" s="12"/>
      <c r="J24" s="12"/>
      <c r="K24" s="12"/>
    </row>
    <row r="25" spans="1:11" x14ac:dyDescent="0.25">
      <c r="A25" s="5"/>
      <c r="B25" s="11"/>
      <c r="C25" s="12"/>
      <c r="D25" s="12"/>
      <c r="E25" s="12"/>
      <c r="F25" s="12"/>
      <c r="G25" s="12"/>
      <c r="H25" s="12"/>
      <c r="I25" s="12"/>
      <c r="J25" s="12"/>
      <c r="K25" s="12"/>
    </row>
    <row r="26" spans="1:11" x14ac:dyDescent="0.25">
      <c r="A26" s="5"/>
      <c r="B26" s="11"/>
      <c r="C26" s="12"/>
      <c r="D26" s="12"/>
      <c r="E26" s="12"/>
      <c r="F26" s="12"/>
      <c r="G26" s="12"/>
      <c r="H26" s="12"/>
      <c r="I26" s="12"/>
      <c r="J26" s="12"/>
      <c r="K26" s="12"/>
    </row>
  </sheetData>
  <sheetProtection algorithmName="SHA-512" hashValue="8ptqPDbyvC2M9Xg4c89y0yCFVg6nQwpBNWuLUgwlY76M31F2C2k3LJOkMtsYmnjx9Ns0N2tc6OLOBXSvan4Rww==" saltValue="MBP7cx7jxwPkvaUaGEWjFw==" spinCount="100000" sheet="1" objects="1" scenarios="1" selectLockedCells="1"/>
  <mergeCells count="11">
    <mergeCell ref="H3:H4"/>
    <mergeCell ref="I3:I4"/>
    <mergeCell ref="J3:J4"/>
    <mergeCell ref="K3:K4"/>
    <mergeCell ref="A1:K1"/>
    <mergeCell ref="B3:B4"/>
    <mergeCell ref="C3:C4"/>
    <mergeCell ref="D3:D4"/>
    <mergeCell ref="E3:E4"/>
    <mergeCell ref="F3:F4"/>
    <mergeCell ref="G3:G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E13F4D-C7FA-4100-BD1B-4EE4A49CDC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Dif_PF_retorno</vt:lpstr>
      <vt:lpstr>Tabelas-English</vt:lpstr>
      <vt:lpstr>Tabelas</vt:lpstr>
      <vt:lpstr>Dash-English</vt:lpstr>
      <vt:lpstr>Dash-Portuguese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 Métricas 80</cp:lastModifiedBy>
  <dcterms:created xsi:type="dcterms:W3CDTF">2026-07-15T22:35:31Z</dcterms:created>
  <dcterms:modified xsi:type="dcterms:W3CDTF">2026-07-16T23:31:20Z</dcterms:modified>
</cp:coreProperties>
</file>